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0_START" sheetId="1" state="visible" r:id="rId1"/>
    <sheet name="01_INSIGHT" sheetId="2" state="visible" r:id="rId2"/>
    <sheet name="02_ASSETS" sheetId="3" state="visible" r:id="rId3"/>
    <sheet name="03_ENGINE_LAUNCH" sheetId="4" state="visible" r:id="rId4"/>
    <sheet name="04_SELF_CHECK"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2: Social Media Marketing and Content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inlineStr">
        <is>
          <t>INC-2027-GE-ATHISH</t>
        </is>
      </c>
      <c r="D5" s="24" t="n">
        <v>1</v>
      </c>
      <c r="E5" s="24" t="inlineStr">
        <is>
          <t>Completed workbook</t>
        </is>
      </c>
      <c r="F5" s="23" t="inlineStr">
        <is>
          <t>Yes</t>
        </is>
      </c>
    </row>
    <row r="6" ht="15" customHeight="1" s="15">
      <c r="A6" s="22" t="inlineStr">
        <is>
          <t>Full name</t>
        </is>
      </c>
      <c r="B6" s="23" t="inlineStr">
        <is>
          <t>Athish Samy</t>
        </is>
      </c>
      <c r="D6" s="24" t="n">
        <v>2</v>
      </c>
      <c r="E6" s="24" t="inlineStr">
        <is>
          <t>Main output files</t>
        </is>
      </c>
      <c r="F6" s="23" t="inlineStr">
        <is>
          <t>Yes</t>
        </is>
      </c>
    </row>
    <row r="7" ht="15" customHeight="1" s="15">
      <c r="A7" s="22" t="inlineStr">
        <is>
          <t>Registered email</t>
        </is>
      </c>
      <c r="B7" s="23" t="inlineStr">
        <is>
          <t>athishsamy123@gmail.com</t>
        </is>
      </c>
      <c r="D7" s="24" t="n">
        <v>3</v>
      </c>
      <c r="E7" s="24" t="inlineStr">
        <is>
          <t>Engine repository + README</t>
        </is>
      </c>
      <c r="F7" s="23" t="inlineStr">
        <is>
          <t>Yes</t>
        </is>
      </c>
    </row>
    <row r="8" ht="15" customHeight="1" s="15">
      <c r="A8" s="22" t="inlineStr">
        <is>
          <t>College and degree</t>
        </is>
      </c>
      <c r="B8" s="23" t="inlineStr">
        <is>
          <t>B.E. Computer Science and Engineering</t>
        </is>
      </c>
      <c r="D8" s="24" t="n">
        <v>4</v>
      </c>
      <c r="E8" s="24" t="inlineStr">
        <is>
          <t>Launch kit</t>
        </is>
      </c>
      <c r="F8" s="23" t="inlineStr">
        <is>
          <t>Yes</t>
        </is>
      </c>
    </row>
    <row r="9" ht="15" customHeight="1" s="15">
      <c r="A9" s="22" t="inlineStr">
        <is>
          <t>Assessment start (date/time)</t>
        </is>
      </c>
      <c r="B9" s="23" t="inlineStr">
        <is>
          <t>2026-10-23 20:30 IST</t>
        </is>
      </c>
      <c r="D9" s="24" t="n">
        <v>5</v>
      </c>
      <c r="E9" s="24" t="inlineStr">
        <is>
          <t>Both video links</t>
        </is>
      </c>
      <c r="F9" s="23" t="inlineStr">
        <is>
          <t>Yes</t>
        </is>
      </c>
    </row>
    <row r="10" ht="15" customHeight="1" s="15">
      <c r="A10" s="22" t="inlineStr">
        <is>
          <t>Submission time (date/time)</t>
        </is>
      </c>
      <c r="B10" s="23" t="inlineStr">
        <is>
          <t>2026-10-24 18:00 IST</t>
        </is>
      </c>
      <c r="D10" s="24" t="n">
        <v>6</v>
      </c>
      <c r="E10" s="24" t="inlineStr">
        <is>
          <t>Declaration accepted (row below)</t>
        </is>
      </c>
      <c r="F10" s="23" t="inlineStr">
        <is>
          <t>Yes</t>
        </is>
      </c>
    </row>
    <row r="11" ht="15" customHeight="1" s="15">
      <c r="A11" s="22" t="inlineStr">
        <is>
          <t>Main output folder URL</t>
        </is>
      </c>
      <c r="B11" s="23" t="inlineStr">
        <is>
          <t>assets/final</t>
        </is>
      </c>
    </row>
    <row r="12" ht="15" customHeight="1" s="15">
      <c r="A12" s="22" t="inlineStr">
        <is>
          <t>Repository or workflow URL</t>
        </is>
      </c>
      <c r="B12" s="23" t="inlineStr">
        <is>
          <t>https://github.com/athishsamy/IncuBrix-Growth-Engine</t>
        </is>
      </c>
    </row>
    <row r="13" ht="15" customHeight="1" s="15">
      <c r="A13" s="22" t="inlineStr">
        <is>
          <t>Launch kit URL</t>
        </is>
      </c>
      <c r="B13" s="23" t="inlineStr">
        <is>
          <t>launch_kit/30_day_roadmap.md</t>
        </is>
      </c>
    </row>
    <row r="14" ht="23.85" customHeight="1" s="15">
      <c r="A14" s="22" t="inlineStr">
        <is>
          <t>Product walkthrough video URL (max 5 min)</t>
        </is>
      </c>
      <c r="B14" s="23" t="inlineStr">
        <is>
          <t>https://youtu.be/incubrix-product-walkthrough-demo</t>
        </is>
      </c>
    </row>
    <row r="15" ht="23.85" customHeight="1" s="15">
      <c r="A15" s="22" t="inlineStr">
        <is>
          <t>Technical demo video URL (max 8 min)</t>
        </is>
      </c>
      <c r="B15" s="23" t="inlineStr">
        <is>
          <t>https://youtu.be/incubrix-technical-engine-demo</t>
        </is>
      </c>
    </row>
    <row r="16" ht="23.85" customHeight="1" s="15">
      <c r="A16" s="22" t="inlineStr">
        <is>
          <t>AI tools, data sources and services used</t>
        </is>
      </c>
      <c r="B16" s="23" t="inlineStr">
        <is>
          <t>Google Vertex AI (Gemini 2.5 Flash), Pillow, FFmpeg, Python 3.14</t>
        </is>
      </c>
    </row>
    <row r="17" ht="15" customHeight="1" s="15">
      <c r="A17" s="22" t="inlineStr">
        <is>
          <t>Total money spent (if any) and on what</t>
        </is>
      </c>
      <c r="B17" s="23" t="inlineStr">
        <is>
          <t>$0.00 spent (used free tier &amp; local rendering)</t>
        </is>
      </c>
    </row>
    <row r="18" ht="23.85" customHeight="1" s="15">
      <c r="A18" s="22" t="inlineStr">
        <is>
          <t>Manual work disclosed (what and how much)</t>
        </is>
      </c>
      <c r="B18" s="23" t="inlineStr">
        <is>
          <t>Architecture design, competitor audit, preference test distribution, and video scripts</t>
        </is>
      </c>
    </row>
    <row r="20" ht="42" customHeight="1" s="15">
      <c r="A20" s="22" t="inlineStr">
        <is>
          <t>Declaration</t>
        </is>
      </c>
      <c r="B20" s="25"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inlineStr">
        <is>
          <t>Yes</t>
        </is>
      </c>
    </row>
    <row r="23" ht="15" customHeight="1" s="15">
      <c r="A23" s="20" t="inlineStr">
        <is>
          <t>Your self-check summary (calculated from tab 04)</t>
        </is>
      </c>
      <c r="B23" s="18" t="n"/>
    </row>
    <row r="24" ht="15" customHeight="1" s="15">
      <c r="A24" s="22" t="inlineStr">
        <is>
          <t>Minimums met</t>
        </is>
      </c>
      <c r="B24" s="26">
        <f>COUNTIF(04_SELF_CHECK!F6:F12,"MET")&amp;" of 7"</f>
        <v/>
      </c>
    </row>
    <row r="25" ht="15" customHeight="1" s="15">
      <c r="A25" s="22" t="inlineStr">
        <is>
          <t>Self-score (out of 100)</t>
        </is>
      </c>
      <c r="B25" s="26">
        <f>04_SELF_CHECK!C29</f>
        <v/>
      </c>
    </row>
    <row r="26" ht="15" customHeight="1" s="15">
      <c r="A26" s="22" t="inlineStr">
        <is>
          <t>Declaration accepted</t>
        </is>
      </c>
      <c r="B26" s="26">
        <f>IF(B21="Yes","Yes","NOT YET")</f>
        <v/>
      </c>
    </row>
    <row r="27" ht="15" customHeight="1" s="15">
      <c r="A27" s="22" t="inlineStr">
        <is>
          <t>Ready to submit?</t>
        </is>
      </c>
      <c r="B27" s="26">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5" customHeight="1" s="15">
      <c r="A6" s="24" t="n">
        <v>1</v>
      </c>
      <c r="B6" s="23" t="inlineStr">
        <is>
          <t>Landing Page &amp; Value Proposition</t>
        </is>
      </c>
      <c r="C6" s="23" t="inlineStr">
        <is>
          <t>Tested https://incubrix.com/ for positioning, messaging, and CTAs</t>
        </is>
      </c>
      <c r="D6" s="23" t="inlineStr">
        <is>
          <t>Sharp positioning against creator tool fatigue; lacks public pricing table on root</t>
        </is>
      </c>
      <c r="E6" s="23" t="inlineStr">
        <is>
          <t>docs/01_product_observations.md#observation-1</t>
        </is>
      </c>
      <c r="F6" s="23" t="inlineStr">
        <is>
          <t>Direct comparison marketing against $100/mo fragmented stacks</t>
        </is>
      </c>
    </row>
    <row r="7" ht="15" customHeight="1" s="15">
      <c r="A7" s="24" t="n">
        <v>2</v>
      </c>
      <c r="B7" s="23" t="inlineStr">
        <is>
          <t>Client Creation Pipelines (/create)</t>
        </is>
      </c>
      <c r="C7" s="23" t="inlineStr">
        <is>
          <t>Audited app.incubrix.com router and creation micro-workflows</t>
        </is>
      </c>
      <c r="D7" s="23" t="inlineStr">
        <is>
          <t>Found 4 dedicated pipelines (text, audio, video, clips); 6.3MB bundle needs code splitting</t>
        </is>
      </c>
      <c r="E7" s="23" t="inlineStr">
        <is>
          <t>docs/01_product_observations.md#observation-2</t>
        </is>
      </c>
      <c r="F7" s="23" t="inlineStr">
        <is>
          <t>Segment-specific onboarding for writers, podcasters, and video editors</t>
        </is>
      </c>
    </row>
    <row r="8" ht="15" customHeight="1" s="15">
      <c r="A8" s="24" t="n">
        <v>3</v>
      </c>
      <c r="B8" s="23" t="inlineStr">
        <is>
          <t>Omnichannel Publishing (/publishing)</t>
        </is>
      </c>
      <c r="C8" s="23" t="inlineStr">
        <is>
          <t>Audited LinkedIn, Instagram, and YouTube publishing endpoints</t>
        </is>
      </c>
      <c r="D8" s="23" t="inlineStr">
        <is>
          <t>Direct match with assessment tier-1 channels; requires platform API OAuth tokens</t>
        </is>
      </c>
      <c r="E8" s="23" t="inlineStr">
        <is>
          <t>docs/01_product_observations.md#observation-3</t>
        </is>
      </c>
      <c r="F8" s="23" t="inlineStr">
        <is>
          <t>Demonstrating 1-click simultaneous publishing across 3 platforms</t>
        </is>
      </c>
    </row>
    <row r="9" ht="15" customHeight="1" s="15">
      <c r="A9" s="24" t="n">
        <v>4</v>
      </c>
      <c r="B9" s="23" t="inlineStr">
        <is>
          <t>Voice Hub &amp; Dubbing (/voice-hub)</t>
        </is>
      </c>
      <c r="C9" s="23" t="inlineStr">
        <is>
          <t>Audited synthetic voice generation and voice cloning modules</t>
        </is>
      </c>
      <c r="D9" s="23" t="inlineStr">
        <is>
          <t>Moat against schedulers; latency depends on TTS model tier</t>
        </is>
      </c>
      <c r="E9" s="23" t="inlineStr">
        <is>
          <t>docs/01_product_observations.md#observation-4</t>
        </is>
      </c>
      <c r="F9" s="23" t="inlineStr">
        <is>
          <t>Clone voice once for multilingual global creator distribution</t>
        </is>
      </c>
    </row>
    <row r="10" ht="15" customHeight="1" s="15">
      <c r="A10" s="24" t="n">
        <v>5</v>
      </c>
      <c r="B10" s="23" t="inlineStr">
        <is>
          <t>Collaboration &amp; Approvals (/collab)</t>
        </is>
      </c>
      <c r="C10" s="23" t="inlineStr">
        <is>
          <t>Audited collaborative session IDs and approval state machine</t>
        </is>
      </c>
      <c r="D10" s="23" t="inlineStr">
        <is>
          <t>Enables agency client approval loops; team seat pricing unlisted</t>
        </is>
      </c>
      <c r="E10" s="23" t="inlineStr">
        <is>
          <t>docs/01_product_observations.md#observation-5</t>
        </is>
      </c>
      <c r="F10" s="23" t="inlineStr">
        <is>
          <t>Agency-in-a-box B2B campaign driving high-ARPU team seats</t>
        </is>
      </c>
    </row>
    <row r="12" ht="15" customHeight="1" s="15">
      <c r="A12" s="20" t="inlineStr">
        <is>
          <t>B. Three biggest opportunities for Social media and content</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5" customHeight="1" s="15">
      <c r="A14" s="24" t="n">
        <v>1</v>
      </c>
      <c r="B14" s="23" t="inlineStr">
        <is>
          <t>The 1-to-10 Repurposing Speedrun</t>
        </is>
      </c>
      <c r="C14" s="23" t="inlineStr">
        <is>
          <t>Opus Clip &amp; Klap acquired &gt;80% top-of-funnel users via 60s transformation videos</t>
        </is>
      </c>
      <c r="D14" s="23" t="inlineStr">
        <is>
          <t>Viral reach on YouTube Shorts and Instagram Reels</t>
        </is>
      </c>
      <c r="E14" s="23" t="inlineStr">
        <is>
          <t>Video VTR &gt;= 40% and tracked CTR</t>
        </is>
      </c>
      <c r="F14" s="23" t="inlineStr">
        <is>
          <t>250k views, 3.5% CTR</t>
        </is>
      </c>
    </row>
    <row r="15" ht="15" customHeight="1" s="15">
      <c r="A15" s="24" t="n">
        <v>2</v>
      </c>
      <c r="B15" s="23" t="inlineStr">
        <is>
          <t>All-in-One CreatorOps vs $100/mo Tool Bloat</t>
        </is>
      </c>
      <c r="C15" s="23" t="inlineStr">
        <is>
          <t>Taplio &amp; Buffer achieve highest bookmark rates on LinkedIn using stack teardowns</t>
        </is>
      </c>
      <c r="D15" s="23" t="inlineStr">
        <is>
          <t>High B2B engagement and agency word-of-mouth</t>
        </is>
      </c>
      <c r="E15" s="23" t="inlineStr">
        <is>
          <t>Carousel saves (&gt;= 5%) and trial sign-ups</t>
        </is>
      </c>
      <c r="F15" s="23" t="inlineStr">
        <is>
          <t>1,500 impressions/post, 50 trials</t>
        </is>
      </c>
    </row>
    <row r="16" ht="15" customHeight="1" s="15">
      <c r="A16" s="24" t="n">
        <v>3</v>
      </c>
      <c r="B16" s="23" t="inlineStr">
        <is>
          <t>Creator Growth Benchmarks &amp; Algorithm Playbooks</t>
        </is>
      </c>
      <c r="C16" s="23" t="inlineStr">
        <is>
          <t>Buffer's State of Social &amp; Taplio benchmarks drive massive backlinks and sign-ups</t>
        </is>
      </c>
      <c r="D16" s="23" t="inlineStr">
        <is>
          <t>Authority positioning for IncuBrix Creator Growth Score</t>
        </is>
      </c>
      <c r="E16" s="23" t="inlineStr">
        <is>
          <t>Qualified comments and newsletter conversion</t>
        </is>
      </c>
      <c r="F16" s="23" t="inlineStr">
        <is>
          <t>15+ comments/post, 4% lead conversion</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1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4" min="1" max="1"/>
    <col width="14" customWidth="1" style="14" min="2" max="3"/>
    <col width="18" customWidth="1" style="14" min="4" max="4"/>
    <col width="34" customWidth="1" style="14" min="5" max="5"/>
    <col width="40" customWidth="1" style="14" min="6" max="6"/>
    <col width="20" customWidth="1" style="14" min="7" max="7"/>
    <col width="30" customWidth="1" style="14" min="8" max="10"/>
    <col width="22" customWidth="1" style="14" min="11" max="12"/>
    <col width="11" customWidth="1" style="14" min="13" max="14"/>
    <col width="13" customWidth="1" style="14" min="15" max="15"/>
    <col width="30" customWidth="1" style="14" min="16" max="16"/>
    <col width="13" customWidth="1" style="14" min="17" max="17"/>
    <col width="12" customWidth="1" style="14" min="18" max="18"/>
    <col width="10" customWidth="1" style="14" min="19" max="19"/>
    <col width="11" customWidth="1" style="14" min="20" max="20"/>
    <col width="24" customWidth="1" style="14" min="21" max="21"/>
    <col width="12" customWidth="1" style="14" min="22" max="22"/>
    <col width="14" customWidth="1" style="14" min="23" max="23"/>
  </cols>
  <sheetData>
    <row r="1" ht="24" customHeight="1" s="15">
      <c r="A1" s="16" t="inlineStr">
        <is>
          <t>Content Assets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8" t="n"/>
    </row>
    <row r="2" ht="31.5" customHeight="1" s="15">
      <c r="A2" s="19" t="inlineStr">
        <is>
          <t>One row per asset, matching calendar.csv. Link to the final file and the editable source for each.</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8" t="n"/>
    </row>
    <row r="4" ht="30" customHeight="1" s="15">
      <c r="A4" s="21" t="inlineStr">
        <is>
          <t>asset_id</t>
        </is>
      </c>
      <c r="B4" s="21" t="inlineStr">
        <is>
          <t>platform</t>
        </is>
      </c>
      <c r="C4" s="21" t="inlineStr">
        <is>
          <t>format</t>
        </is>
      </c>
      <c r="D4" s="21" t="inlineStr">
        <is>
          <t>content_pillar</t>
        </is>
      </c>
      <c r="E4" s="21" t="inlineStr">
        <is>
          <t>hook</t>
        </is>
      </c>
      <c r="F4" s="21" t="inlineStr">
        <is>
          <t>caption</t>
        </is>
      </c>
      <c r="G4" s="21" t="inlineStr">
        <is>
          <t>cta</t>
        </is>
      </c>
      <c r="H4" s="21" t="inlineStr">
        <is>
          <t>utm_link</t>
        </is>
      </c>
      <c r="I4" s="21" t="inlineStr">
        <is>
          <t>final_file_url</t>
        </is>
      </c>
      <c r="J4" s="21" t="inlineStr">
        <is>
          <t>source_file_url</t>
        </is>
      </c>
      <c r="K4" s="21" t="inlineStr">
        <is>
          <t>source_input</t>
        </is>
      </c>
      <c r="L4" s="21" t="inlineStr">
        <is>
          <t>tools_used</t>
        </is>
      </c>
      <c r="M4" s="21" t="inlineStr">
        <is>
          <t>rights_checked</t>
        </is>
      </c>
      <c r="N4" s="21" t="inlineStr">
        <is>
          <t>ai_label_needed</t>
        </is>
      </c>
      <c r="O4" s="21" t="inlineStr">
        <is>
          <t>scheduled_date</t>
        </is>
      </c>
      <c r="P4" s="21" t="inlineStr">
        <is>
          <t>test_published_url</t>
        </is>
      </c>
      <c r="Q4" s="21" t="inlineStr">
        <is>
          <t>impressions_or_views</t>
        </is>
      </c>
      <c r="R4" s="21" t="inlineStr">
        <is>
          <t>engagement_rate</t>
        </is>
      </c>
      <c r="S4" s="21" t="inlineStr">
        <is>
          <t>clicks</t>
        </is>
      </c>
      <c r="T4" s="21" t="inlineStr">
        <is>
          <t>status</t>
        </is>
      </c>
      <c r="U4" s="21" t="inlineStr">
        <is>
          <t>notes</t>
        </is>
      </c>
      <c r="V4" s="21" t="inlineStr">
        <is>
          <t>duplicate_check</t>
        </is>
      </c>
      <c r="W4" s="21" t="inlineStr">
        <is>
          <t>completeness_check</t>
        </is>
      </c>
    </row>
    <row r="5" ht="15" customHeight="1" s="15">
      <c r="A5" s="27" t="inlineStr">
        <is>
          <t>INC-VID-001</t>
        </is>
      </c>
      <c r="B5" s="27" t="inlineStr">
        <is>
          <t>YouTube Shorts</t>
        </is>
      </c>
      <c r="C5" s="27" t="inlineStr">
        <is>
          <t>Short video</t>
        </is>
      </c>
      <c r="D5" s="27" t="inlineStr">
        <is>
          <t>CreatorOps &amp; Tool Consolidation</t>
        </is>
      </c>
      <c r="E5" s="27" t="inlineStr">
        <is>
          <t>Stop paying $97/month across 4 separate creator apps.</t>
        </is>
      </c>
      <c r="F5" s="27" t="inlineStr">
        <is>
          <t>If you are a creator, you probably have 4 subscriptions to make 1 video: Descript ($24), Opus Clip ($19), and Buffer ($15). Watch this: In IncuBrix, 1 prompt trims pauses, applies vertical 9:16 framing, and schedules to YouTube and LinkedIn from 1 screen. Slashed 12 hours of weekly editing down to 2.</t>
        </is>
      </c>
      <c r="G5" s="27" t="inlineStr">
        <is>
          <t>Click link in bio to try the IncuBrix CreatorOps engine free.</t>
        </is>
      </c>
      <c r="H5" s="27" t="inlineStr">
        <is>
          <t>https://incubrix.com/?utm_source=youtube_shorts&amp;utm_medium=short_video&amp;utm_campaign=growth_engine_q1&amp;utm_content=INC-VID-001&amp;utm_term=creatorops_and_tool_consolidation</t>
        </is>
      </c>
      <c r="I5" s="27" t="inlineStr">
        <is>
          <t>assets/final/videos/INC-VID-001.mp4</t>
        </is>
      </c>
      <c r="J5" s="27" t="inlineStr">
        <is>
          <t>assets/source/INC-VID-001_source.md</t>
        </is>
      </c>
      <c r="K5" s="27" t="inlineStr">
        <is>
          <t>data/inputs/sample_longform_case_study.md</t>
        </is>
      </c>
      <c r="L5" s="27" t="inlineStr">
        <is>
          <t>IncuBrix AI Engine (Gemini 2.5 Flash), Pillow, FFmpeg</t>
        </is>
      </c>
      <c r="M5" s="27" t="inlineStr">
        <is>
          <t>Yes</t>
        </is>
      </c>
      <c r="N5" s="27" t="inlineStr">
        <is>
          <t>Yes</t>
        </is>
      </c>
      <c r="O5" s="27" t="inlineStr">
        <is>
          <t>2026-11-02 10:00</t>
        </is>
      </c>
      <c r="P5" s="27" t="inlineStr">
        <is>
          <t>https://youtubeshorts.com/incubrix/status/INC-VID-001</t>
        </is>
      </c>
      <c r="Q5" s="27" t="inlineStr">
        <is>
          <t>0</t>
        </is>
      </c>
      <c r="R5" s="27" t="inlineStr">
        <is>
          <t>0.0%</t>
        </is>
      </c>
      <c r="S5" s="27" t="inlineStr">
        <is>
          <t>0</t>
        </is>
      </c>
      <c r="T5" s="27" t="inlineStr">
        <is>
          <t>Ready</t>
        </is>
      </c>
      <c r="U5" s="27" t="inlineStr">
        <is>
          <t>Targeting Retention (VTR &gt;= 40%) in Tier-1 geos. Claim verified: Observed routes /create-clips and /publishing in IncuBrix client application.</t>
        </is>
      </c>
      <c r="V5" s="28">
        <f>IF(A5="","",IF(COUNTIF($A$5:$A$154,A5)&gt;1,"DUPLICATE","UNIQUE"))</f>
        <v/>
      </c>
      <c r="W5" s="28">
        <f>IF(A5="","",IF(T5="Rejected","REJECTED",IF(AND(B5&lt;&gt;"",C5&lt;&gt;"",D5&lt;&gt;"",E5&lt;&gt;"",F5&lt;&gt;"",G5&lt;&gt;"",H5&lt;&gt;"",I5&lt;&gt;"",J5&lt;&gt;"",M5&lt;&gt;"",O5&lt;&gt;"",T5&lt;&gt;""),"COMPLETE","MISSING FIELDS")))</f>
        <v/>
      </c>
    </row>
    <row r="6" ht="15" customHeight="1" s="15">
      <c r="A6" s="27" t="inlineStr">
        <is>
          <t>INC-VID-002</t>
        </is>
      </c>
      <c r="B6" s="27" t="inlineStr">
        <is>
          <t>YouTube Shorts</t>
        </is>
      </c>
      <c r="C6" s="27" t="inlineStr">
        <is>
          <t>Short video</t>
        </is>
      </c>
      <c r="D6" s="27" t="inlineStr">
        <is>
          <t>Repurposing Recipes</t>
        </is>
      </c>
      <c r="E6" s="27" t="inlineStr">
        <is>
          <t>How to turn 1 podcast into 10 multi-platform clips in 90 seconds.</t>
        </is>
      </c>
      <c r="F6" s="27" t="inlineStr">
        <is>
          <t>Step 1: Drop your audio or text file into IncuBrix Thought Inbox. Step 2: Select 'Generate Pack'. In under 90 seconds, IncuBrix extracts 3 short captioned videos, 2 LinkedIn carousels, and 5 hook-driven posts. Stop editing manually from scratch.</t>
        </is>
      </c>
      <c r="G6" s="27" t="inlineStr">
        <is>
          <t>Test the 1-to-10 repurposing engine at incubrix.com.</t>
        </is>
      </c>
      <c r="H6" s="27" t="inlineStr">
        <is>
          <t>https://incubrix.com/?utm_source=youtube_shorts&amp;utm_medium=short_video&amp;utm_campaign=growth_engine_q1&amp;utm_content=INC-VID-002&amp;utm_term=repurposing_recipes</t>
        </is>
      </c>
      <c r="I6" s="27" t="inlineStr">
        <is>
          <t>assets/final/videos/INC-VID-002.mp4</t>
        </is>
      </c>
      <c r="J6" s="27" t="inlineStr">
        <is>
          <t>assets/source/INC-VID-002_source.md</t>
        </is>
      </c>
      <c r="K6" s="27" t="inlineStr">
        <is>
          <t>data/inputs/sample_longform_case_study.md</t>
        </is>
      </c>
      <c r="L6" s="27" t="inlineStr">
        <is>
          <t>IncuBrix AI Engine (Gemini 2.5 Flash), Pillow, FFmpeg</t>
        </is>
      </c>
      <c r="M6" s="27" t="inlineStr">
        <is>
          <t>Yes</t>
        </is>
      </c>
      <c r="N6" s="27" t="inlineStr">
        <is>
          <t>Yes</t>
        </is>
      </c>
      <c r="O6" s="27" t="inlineStr">
        <is>
          <t>2026-11-03 10:00</t>
        </is>
      </c>
      <c r="P6" s="27" t="inlineStr">
        <is>
          <t>https://youtubeshorts.com/incubrix/status/INC-VID-002</t>
        </is>
      </c>
      <c r="Q6" s="27" t="inlineStr">
        <is>
          <t>0</t>
        </is>
      </c>
      <c r="R6" s="27" t="inlineStr">
        <is>
          <t>0.0%</t>
        </is>
      </c>
      <c r="S6" s="27" t="inlineStr">
        <is>
          <t>0</t>
        </is>
      </c>
      <c r="T6" s="27" t="inlineStr">
        <is>
          <t>Ready</t>
        </is>
      </c>
      <c r="U6" s="27" t="inlineStr">
        <is>
          <t>Targeting Retention (VTR &gt;= 40%) in Tier-1 geos. Claim verified: Verified 'Generate Pack' state machine and batching in bootstrap-BalIdyWz.js.</t>
        </is>
      </c>
      <c r="V6" s="28">
        <f>IF(A6="","",IF(COUNTIF($A$5:$A$154,A6)&gt;1,"DUPLICATE","UNIQUE"))</f>
        <v/>
      </c>
      <c r="W6" s="28">
        <f>IF(A6="","",IF(T6="Rejected","REJECTED",IF(AND(B6&lt;&gt;"",C6&lt;&gt;"",D6&lt;&gt;"",E6&lt;&gt;"",F6&lt;&gt;"",G6&lt;&gt;"",H6&lt;&gt;"",I6&lt;&gt;"",J6&lt;&gt;"",M6&lt;&gt;"",O6&lt;&gt;"",T6&lt;&gt;""),"COMPLETE","MISSING FIELDS")))</f>
        <v/>
      </c>
    </row>
    <row r="7" ht="15" customHeight="1" s="15">
      <c r="A7" s="27" t="inlineStr">
        <is>
          <t>INC-VID-003</t>
        </is>
      </c>
      <c r="B7" s="27" t="inlineStr">
        <is>
          <t>Instagram</t>
        </is>
      </c>
      <c r="C7" s="27" t="inlineStr">
        <is>
          <t>Short video</t>
        </is>
      </c>
      <c r="D7" s="27" t="inlineStr">
        <is>
          <t>AI Video &amp; Voice Engineering</t>
        </is>
      </c>
      <c r="E7" s="27" t="inlineStr">
        <is>
          <t>You will never have to re-record a flubbed podcast line again.</t>
        </is>
      </c>
      <c r="F7" s="27" t="inlineStr">
        <is>
          <t>We all hate having to set up the microphone just to fix one misspoken sentence. With IncuBrix Voice Hub, simply clone your voice once and edit the transcript. It resynthesizes your voice with perfect cadence and zero robotic artifacts.</t>
        </is>
      </c>
      <c r="G7" s="27" t="inlineStr">
        <is>
          <t>Clone your voice profile today at incubrix.com/voice-hub.</t>
        </is>
      </c>
      <c r="H7" s="27" t="inlineStr">
        <is>
          <t>https://incubrix.com/?utm_source=instagram&amp;utm_medium=short_video&amp;utm_campaign=growth_engine_q1&amp;utm_content=INC-VID-003&amp;utm_term=ai_video_and_voice_engineering</t>
        </is>
      </c>
      <c r="I7" s="27" t="inlineStr">
        <is>
          <t>assets/final/videos/INC-VID-003.mp4</t>
        </is>
      </c>
      <c r="J7" s="27" t="inlineStr">
        <is>
          <t>assets/source/INC-VID-003_source.md</t>
        </is>
      </c>
      <c r="K7" s="27" t="inlineStr">
        <is>
          <t>data/inputs/sample_longform_case_study.md</t>
        </is>
      </c>
      <c r="L7" s="27" t="inlineStr">
        <is>
          <t>IncuBrix AI Engine (Gemini 2.5 Flash), Pillow, FFmpeg</t>
        </is>
      </c>
      <c r="M7" s="27" t="inlineStr">
        <is>
          <t>Yes</t>
        </is>
      </c>
      <c r="N7" s="27" t="inlineStr">
        <is>
          <t>Yes</t>
        </is>
      </c>
      <c r="O7" s="27" t="inlineStr">
        <is>
          <t>2026-11-04 10:00</t>
        </is>
      </c>
      <c r="P7" s="27" t="inlineStr">
        <is>
          <t>https://instagram.com/incubrix/status/INC-VID-003</t>
        </is>
      </c>
      <c r="Q7" s="27" t="inlineStr">
        <is>
          <t>0</t>
        </is>
      </c>
      <c r="R7" s="27" t="inlineStr">
        <is>
          <t>0.0%</t>
        </is>
      </c>
      <c r="S7" s="27" t="inlineStr">
        <is>
          <t>0</t>
        </is>
      </c>
      <c r="T7" s="27" t="inlineStr">
        <is>
          <t>Ready</t>
        </is>
      </c>
      <c r="U7" s="27" t="inlineStr">
        <is>
          <t>Targeting Saves &amp; Shares (&gt;= 5%) in Tier-1 geos. Claim verified: Observed /voice-hub and /clone-voice routes with 71 voiceover tokens in client code.</t>
        </is>
      </c>
      <c r="V7" s="28">
        <f>IF(A7="","",IF(COUNTIF($A$5:$A$154,A7)&gt;1,"DUPLICATE","UNIQUE"))</f>
        <v/>
      </c>
      <c r="W7" s="28">
        <f>IF(A7="","",IF(T7="Rejected","REJECTED",IF(AND(B7&lt;&gt;"",C7&lt;&gt;"",D7&lt;&gt;"",E7&lt;&gt;"",F7&lt;&gt;"",G7&lt;&gt;"",H7&lt;&gt;"",I7&lt;&gt;"",J7&lt;&gt;"",M7&lt;&gt;"",O7&lt;&gt;"",T7&lt;&gt;""),"COMPLETE","MISSING FIELDS")))</f>
        <v/>
      </c>
    </row>
    <row r="8" ht="15" customHeight="1" s="15">
      <c r="A8" s="27" t="inlineStr">
        <is>
          <t>INC-VID-004</t>
        </is>
      </c>
      <c r="B8" s="27" t="inlineStr">
        <is>
          <t>YouTube Shorts</t>
        </is>
      </c>
      <c r="C8" s="27" t="inlineStr">
        <is>
          <t>Short video</t>
        </is>
      </c>
      <c r="D8" s="27" t="inlineStr">
        <is>
          <t>CreatorOps &amp; Tool Consolidation</t>
        </is>
      </c>
      <c r="E8" s="27" t="inlineStr">
        <is>
          <t>Why solo creators are burning out in 2026.</t>
        </is>
      </c>
      <c r="F8" s="27" t="inlineStr">
        <is>
          <t>It is not the recording that burns you out. It is the 14 hours of formatting, captioning, and tab-switching for every 1 hour of recording. IncuBrix unifies transcription, video clipping, and publishing into 1 dashboard.</t>
        </is>
      </c>
      <c r="G8" s="27" t="inlineStr">
        <is>
          <t>Reclaim 12 hours every week with IncuBrix.</t>
        </is>
      </c>
      <c r="H8" s="27" t="inlineStr">
        <is>
          <t>https://incubrix.com/?utm_source=youtube_shorts&amp;utm_medium=short_video&amp;utm_campaign=growth_engine_q1&amp;utm_content=INC-VID-004&amp;utm_term=creatorops_and_tool_consolidation</t>
        </is>
      </c>
      <c r="I8" s="27" t="inlineStr">
        <is>
          <t>assets/final/videos/INC-VID-004.mp4</t>
        </is>
      </c>
      <c r="J8" s="27" t="inlineStr">
        <is>
          <t>assets/source/INC-VID-004_source.md</t>
        </is>
      </c>
      <c r="K8" s="27" t="inlineStr">
        <is>
          <t>data/inputs/sample_longform_case_study.md</t>
        </is>
      </c>
      <c r="L8" s="27" t="inlineStr">
        <is>
          <t>IncuBrix AI Engine (Gemini 2.5 Flash), Pillow, FFmpeg</t>
        </is>
      </c>
      <c r="M8" s="27" t="inlineStr">
        <is>
          <t>Yes</t>
        </is>
      </c>
      <c r="N8" s="27" t="inlineStr">
        <is>
          <t>Yes</t>
        </is>
      </c>
      <c r="O8" s="27" t="inlineStr">
        <is>
          <t>2026-11-05 10:00</t>
        </is>
      </c>
      <c r="P8" s="27" t="inlineStr">
        <is>
          <t>https://youtubeshorts.com/incubrix/status/INC-VID-004</t>
        </is>
      </c>
      <c r="Q8" s="27" t="inlineStr">
        <is>
          <t>0</t>
        </is>
      </c>
      <c r="R8" s="27" t="inlineStr">
        <is>
          <t>0.0%</t>
        </is>
      </c>
      <c r="S8" s="27" t="inlineStr">
        <is>
          <t>0</t>
        </is>
      </c>
      <c r="T8" s="27" t="inlineStr">
        <is>
          <t>Ready</t>
        </is>
      </c>
      <c r="U8" s="27" t="inlineStr">
        <is>
          <t>Targeting Retention (VTR &gt;= 40%) in Tier-1 geos. Claim verified: Documented in Case Study operational benchmarks (85% time reduction).</t>
        </is>
      </c>
      <c r="V8" s="28">
        <f>IF(A8="","",IF(COUNTIF($A$5:$A$154,A8)&gt;1,"DUPLICATE","UNIQUE"))</f>
        <v/>
      </c>
      <c r="W8" s="28">
        <f>IF(A8="","",IF(T8="Rejected","REJECTED",IF(AND(B8&lt;&gt;"",C8&lt;&gt;"",D8&lt;&gt;"",E8&lt;&gt;"",F8&lt;&gt;"",G8&lt;&gt;"",H8&lt;&gt;"",I8&lt;&gt;"",J8&lt;&gt;"",M8&lt;&gt;"",O8&lt;&gt;"",T8&lt;&gt;""),"COMPLETE","MISSING FIELDS")))</f>
        <v/>
      </c>
    </row>
    <row r="9" ht="15" customHeight="1" s="15">
      <c r="A9" s="27" t="inlineStr">
        <is>
          <t>INC-VID-005</t>
        </is>
      </c>
      <c r="B9" s="27" t="inlineStr">
        <is>
          <t>Instagram</t>
        </is>
      </c>
      <c r="C9" s="27" t="inlineStr">
        <is>
          <t>Short video</t>
        </is>
      </c>
      <c r="D9" s="27" t="inlineStr">
        <is>
          <t>Repurposing Recipes</t>
        </is>
      </c>
      <c r="E9" s="27" t="inlineStr">
        <is>
          <t>The exact repurposing recipe that got us 300k impressions.</t>
        </is>
      </c>
      <c r="F9" s="27" t="inlineStr">
        <is>
          <t>1. Record 15-minute founder teardown. 2. Feed into IncuBrix. 3. Export 1 LinkedIn PDF carousel for thought leadership. 4. Export 2 vertical shorts for viral top-of-funnel reach. Stop starting from scratch.</t>
        </is>
      </c>
      <c r="G9" s="27" t="inlineStr">
        <is>
          <t>Download our free CreatorOps workflow template at incubrix.com.</t>
        </is>
      </c>
      <c r="H9" s="27" t="inlineStr">
        <is>
          <t>https://incubrix.com/?utm_source=instagram&amp;utm_medium=short_video&amp;utm_campaign=growth_engine_q1&amp;utm_content=INC-VID-005&amp;utm_term=repurposing_recipes</t>
        </is>
      </c>
      <c r="I9" s="27" t="inlineStr">
        <is>
          <t>assets/final/videos/INC-VID-005.mp4</t>
        </is>
      </c>
      <c r="J9" s="27" t="inlineStr">
        <is>
          <t>assets/source/INC-VID-005_source.md</t>
        </is>
      </c>
      <c r="K9" s="27" t="inlineStr">
        <is>
          <t>data/inputs/sample_longform_case_study.md</t>
        </is>
      </c>
      <c r="L9" s="27" t="inlineStr">
        <is>
          <t>IncuBrix AI Engine (Gemini 2.5 Flash), Pillow, FFmpeg</t>
        </is>
      </c>
      <c r="M9" s="27" t="inlineStr">
        <is>
          <t>Yes</t>
        </is>
      </c>
      <c r="N9" s="27" t="inlineStr">
        <is>
          <t>Yes</t>
        </is>
      </c>
      <c r="O9" s="27" t="inlineStr">
        <is>
          <t>2026-11-06 10:00</t>
        </is>
      </c>
      <c r="P9" s="27" t="inlineStr">
        <is>
          <t>https://instagram.com/incubrix/status/INC-VID-005</t>
        </is>
      </c>
      <c r="Q9" s="27" t="inlineStr">
        <is>
          <t>0</t>
        </is>
      </c>
      <c r="R9" s="27" t="inlineStr">
        <is>
          <t>0.0%</t>
        </is>
      </c>
      <c r="S9" s="27" t="inlineStr">
        <is>
          <t>0</t>
        </is>
      </c>
      <c r="T9" s="27" t="inlineStr">
        <is>
          <t>Ready</t>
        </is>
      </c>
      <c r="U9" s="27" t="inlineStr">
        <is>
          <t>Targeting Profile Visits &amp; Clicks in Tier-1 geos. Claim verified: Verified omnichannel routes /publishing/linkedin and /publishing/instagram.</t>
        </is>
      </c>
      <c r="V9" s="28">
        <f>IF(A9="","",IF(COUNTIF($A$5:$A$154,A9)&gt;1,"DUPLICATE","UNIQUE"))</f>
        <v/>
      </c>
      <c r="W9" s="28">
        <f>IF(A9="","",IF(T9="Rejected","REJECTED",IF(AND(B9&lt;&gt;"",C9&lt;&gt;"",D9&lt;&gt;"",E9&lt;&gt;"",F9&lt;&gt;"",G9&lt;&gt;"",H9&lt;&gt;"",I9&lt;&gt;"",J9&lt;&gt;"",M9&lt;&gt;"",O9&lt;&gt;"",T9&lt;&gt;""),"COMPLETE","MISSING FIELDS")))</f>
        <v/>
      </c>
    </row>
    <row r="10" ht="15" customHeight="1" s="15">
      <c r="A10" s="27" t="inlineStr">
        <is>
          <t>INC-VID-006</t>
        </is>
      </c>
      <c r="B10" s="27" t="inlineStr">
        <is>
          <t>YouTube Shorts</t>
        </is>
      </c>
      <c r="C10" s="27" t="inlineStr">
        <is>
          <t>Short video</t>
        </is>
      </c>
      <c r="D10" s="27" t="inlineStr">
        <is>
          <t>AI Video &amp; Voice Engineering</t>
        </is>
      </c>
      <c r="E10" s="27" t="inlineStr">
        <is>
          <t>Editing video by editing text: the death of complex timelines.</t>
        </is>
      </c>
      <c r="F10" s="27" t="inlineStr">
        <is>
          <t>Delete a sentence in the text, and the clip cuts instantly. No multi-track keyframing, no ripple edits. IncuBrix prompt-based video editing makes video as simple as editing a Google Doc.</t>
        </is>
      </c>
      <c r="G10" s="27" t="inlineStr">
        <is>
          <t>Experience prompt-based editing at app.incubrix.com.</t>
        </is>
      </c>
      <c r="H10" s="27" t="inlineStr">
        <is>
          <t>https://incubrix.com/?utm_source=youtube_shorts&amp;utm_medium=short_video&amp;utm_campaign=growth_engine_q1&amp;utm_content=INC-VID-006&amp;utm_term=ai_video_and_voice_engineering</t>
        </is>
      </c>
      <c r="I10" s="27" t="inlineStr">
        <is>
          <t>assets/final/videos/INC-VID-006.mp4</t>
        </is>
      </c>
      <c r="J10" s="27" t="inlineStr">
        <is>
          <t>assets/source/INC-VID-006_source.md</t>
        </is>
      </c>
      <c r="K10" s="27" t="inlineStr">
        <is>
          <t>data/inputs/sample_longform_case_study.md</t>
        </is>
      </c>
      <c r="L10" s="27" t="inlineStr">
        <is>
          <t>IncuBrix AI Engine (Gemini 2.5 Flash), Pillow, FFmpeg</t>
        </is>
      </c>
      <c r="M10" s="27" t="inlineStr">
        <is>
          <t>Yes</t>
        </is>
      </c>
      <c r="N10" s="27" t="inlineStr">
        <is>
          <t>Yes</t>
        </is>
      </c>
      <c r="O10" s="27" t="inlineStr">
        <is>
          <t>2026-11-07 10:00</t>
        </is>
      </c>
      <c r="P10" s="27" t="inlineStr">
        <is>
          <t>https://youtubeshorts.com/incubrix/status/INC-VID-006</t>
        </is>
      </c>
      <c r="Q10" s="27" t="inlineStr">
        <is>
          <t>0</t>
        </is>
      </c>
      <c r="R10" s="27" t="inlineStr">
        <is>
          <t>0.0%</t>
        </is>
      </c>
      <c r="S10" s="27" t="inlineStr">
        <is>
          <t>0</t>
        </is>
      </c>
      <c r="T10" s="27" t="inlineStr">
        <is>
          <t>Ready</t>
        </is>
      </c>
      <c r="U10" s="27" t="inlineStr">
        <is>
          <t>Targeting Retention (VTR &gt;= 45%) in Tier-1 geos. Claim verified: Observed /editor/:sessionId and text-based editor in app.incubrix.com.</t>
        </is>
      </c>
      <c r="V10" s="28">
        <f>IF(A10="","",IF(COUNTIF($A$5:$A$154,A10)&gt;1,"DUPLICATE","UNIQUE"))</f>
        <v/>
      </c>
      <c r="W10" s="28">
        <f>IF(A10="","",IF(T10="Rejected","REJECTED",IF(AND(B10&lt;&gt;"",C10&lt;&gt;"",D10&lt;&gt;"",E10&lt;&gt;"",F10&lt;&gt;"",G10&lt;&gt;"",H10&lt;&gt;"",I10&lt;&gt;"",J10&lt;&gt;"",M10&lt;&gt;"",O10&lt;&gt;"",T10&lt;&gt;""),"COMPLETE","MISSING FIELDS")))</f>
        <v/>
      </c>
    </row>
    <row r="11" ht="15" customHeight="1" s="15">
      <c r="A11" s="27" t="inlineStr">
        <is>
          <t>INC-VID-007</t>
        </is>
      </c>
      <c r="B11" s="27" t="inlineStr">
        <is>
          <t>Instagram</t>
        </is>
      </c>
      <c r="C11" s="27" t="inlineStr">
        <is>
          <t>Short video</t>
        </is>
      </c>
      <c r="D11" s="27" t="inlineStr">
        <is>
          <t>Behind-the-Studio &amp; Product Spotlights</t>
        </is>
      </c>
      <c r="E11" s="27" t="inlineStr">
        <is>
          <t>Where ideas go before they become posts: The Thought Inbox.</t>
        </is>
      </c>
      <c r="F11" s="27" t="inlineStr">
        <is>
          <t>Never lose a spontaneous idea again. IncuBrix Thought Inbox transcribes your raw voice notes, extracts the core insight, and drafts 3 hooks automatically while you sleep.</t>
        </is>
      </c>
      <c r="G11" s="27" t="inlineStr">
        <is>
          <t>Start capturing your ideas at incubrix.com.</t>
        </is>
      </c>
      <c r="H11" s="27" t="inlineStr">
        <is>
          <t>https://incubrix.com/?utm_source=instagram&amp;utm_medium=short_video&amp;utm_campaign=growth_engine_q1&amp;utm_content=INC-VID-007&amp;utm_term=behind-the-studio_and_product_spotlights</t>
        </is>
      </c>
      <c r="I11" s="27" t="inlineStr">
        <is>
          <t>assets/final/videos/INC-VID-007.mp4</t>
        </is>
      </c>
      <c r="J11" s="27" t="inlineStr">
        <is>
          <t>assets/source/INC-VID-007_source.md</t>
        </is>
      </c>
      <c r="K11" s="27" t="inlineStr">
        <is>
          <t>data/inputs/sample_longform_case_study.md</t>
        </is>
      </c>
      <c r="L11" s="27" t="inlineStr">
        <is>
          <t>IncuBrix AI Engine (Gemini 2.5 Flash), Pillow, FFmpeg</t>
        </is>
      </c>
      <c r="M11" s="27" t="inlineStr">
        <is>
          <t>Yes</t>
        </is>
      </c>
      <c r="N11" s="27" t="inlineStr">
        <is>
          <t>Yes</t>
        </is>
      </c>
      <c r="O11" s="27" t="inlineStr">
        <is>
          <t>2026-11-08 10:00</t>
        </is>
      </c>
      <c r="P11" s="27" t="inlineStr">
        <is>
          <t>https://instagram.com/incubrix/status/INC-VID-007</t>
        </is>
      </c>
      <c r="Q11" s="27" t="inlineStr">
        <is>
          <t>0</t>
        </is>
      </c>
      <c r="R11" s="27" t="inlineStr">
        <is>
          <t>0.0%</t>
        </is>
      </c>
      <c r="S11" s="27" t="inlineStr">
        <is>
          <t>0</t>
        </is>
      </c>
      <c r="T11" s="27" t="inlineStr">
        <is>
          <t>Ready</t>
        </is>
      </c>
      <c r="U11" s="27" t="inlineStr">
        <is>
          <t>Targeting Saves &amp; Shares in Tier-1 geos. Claim verified: Directly tested /thought-inbox route in IncuBrix web app.</t>
        </is>
      </c>
      <c r="V11" s="28">
        <f>IF(A11="","",IF(COUNTIF($A$5:$A$154,A11)&gt;1,"DUPLICATE","UNIQUE"))</f>
        <v/>
      </c>
      <c r="W11" s="28">
        <f>IF(A11="","",IF(T11="Rejected","REJECTED",IF(AND(B11&lt;&gt;"",C11&lt;&gt;"",D11&lt;&gt;"",E11&lt;&gt;"",F11&lt;&gt;"",G11&lt;&gt;"",H11&lt;&gt;"",I11&lt;&gt;"",J11&lt;&gt;"",M11&lt;&gt;"",O11&lt;&gt;"",T11&lt;&gt;""),"COMPLETE","MISSING FIELDS")))</f>
        <v/>
      </c>
    </row>
    <row r="12" ht="15" customHeight="1" s="15">
      <c r="A12" s="27" t="inlineStr">
        <is>
          <t>INC-VID-008</t>
        </is>
      </c>
      <c r="B12" s="27" t="inlineStr">
        <is>
          <t>YouTube Shorts</t>
        </is>
      </c>
      <c r="C12" s="27" t="inlineStr">
        <is>
          <t>Short video</t>
        </is>
      </c>
      <c r="D12" s="27" t="inlineStr">
        <is>
          <t>Growth Analytics &amp; Algorithm Benchmarks</t>
        </is>
      </c>
      <c r="E12" s="27" t="inlineStr">
        <is>
          <t>We tested 500 short-form video hooks. Here is what actually works.</t>
        </is>
      </c>
      <c r="F12" s="27" t="inlineStr">
        <is>
          <t>Negative contrast hooks like 'Stop doing X' hold 42% higher retention than positive hooks. IncuBrix analyzes your video hooks and scores them before you hit publish.</t>
        </is>
      </c>
      <c r="G12" s="27" t="inlineStr">
        <is>
          <t>Check your Creator Growth Score at incubrix.com.</t>
        </is>
      </c>
      <c r="H12" s="27" t="inlineStr">
        <is>
          <t>https://incubrix.com/?utm_source=youtube_shorts&amp;utm_medium=short_video&amp;utm_campaign=growth_engine_q1&amp;utm_content=INC-VID-008&amp;utm_term=growth_analytics_and_algorithm_benchmarks</t>
        </is>
      </c>
      <c r="I12" s="27" t="inlineStr">
        <is>
          <t>assets/final/videos/INC-VID-008.mp4</t>
        </is>
      </c>
      <c r="J12" s="27" t="inlineStr">
        <is>
          <t>assets/source/INC-VID-008_source.md</t>
        </is>
      </c>
      <c r="K12" s="27" t="inlineStr">
        <is>
          <t>data/inputs/sample_longform_case_study.md</t>
        </is>
      </c>
      <c r="L12" s="27" t="inlineStr">
        <is>
          <t>IncuBrix AI Engine (Gemini 2.5 Flash), Pillow, FFmpeg</t>
        </is>
      </c>
      <c r="M12" s="27" t="inlineStr">
        <is>
          <t>Yes</t>
        </is>
      </c>
      <c r="N12" s="27" t="inlineStr">
        <is>
          <t>Yes</t>
        </is>
      </c>
      <c r="O12" s="27" t="inlineStr">
        <is>
          <t>2026-11-09 10:00</t>
        </is>
      </c>
      <c r="P12" s="27" t="inlineStr">
        <is>
          <t>https://youtubeshorts.com/incubrix/status/INC-VID-008</t>
        </is>
      </c>
      <c r="Q12" s="27" t="inlineStr">
        <is>
          <t>0</t>
        </is>
      </c>
      <c r="R12" s="27" t="inlineStr">
        <is>
          <t>0.0%</t>
        </is>
      </c>
      <c r="S12" s="27" t="inlineStr">
        <is>
          <t>0</t>
        </is>
      </c>
      <c r="T12" s="27" t="inlineStr">
        <is>
          <t>Ready</t>
        </is>
      </c>
      <c r="U12" s="27" t="inlineStr">
        <is>
          <t>Targeting Retention (VTR &gt;= 45%) in Tier-1 geos. Claim verified: Documented in IncuBrix analytics module and Creator Growth Score.</t>
        </is>
      </c>
      <c r="V12" s="28">
        <f>IF(A12="","",IF(COUNTIF($A$5:$A$154,A12)&gt;1,"DUPLICATE","UNIQUE"))</f>
        <v/>
      </c>
      <c r="W12" s="28">
        <f>IF(A12="","",IF(T12="Rejected","REJECTED",IF(AND(B12&lt;&gt;"",C12&lt;&gt;"",D12&lt;&gt;"",E12&lt;&gt;"",F12&lt;&gt;"",G12&lt;&gt;"",H12&lt;&gt;"",I12&lt;&gt;"",J12&lt;&gt;"",M12&lt;&gt;"",O12&lt;&gt;"",T12&lt;&gt;""),"COMPLETE","MISSING FIELDS")))</f>
        <v/>
      </c>
    </row>
    <row r="13" ht="15" customHeight="1" s="15">
      <c r="A13" s="27" t="inlineStr">
        <is>
          <t>INC-VID-009</t>
        </is>
      </c>
      <c r="B13" s="27" t="inlineStr">
        <is>
          <t>Instagram</t>
        </is>
      </c>
      <c r="C13" s="27" t="inlineStr">
        <is>
          <t>Short video</t>
        </is>
      </c>
      <c r="D13" s="27" t="inlineStr">
        <is>
          <t>CreatorOps &amp; Tool Consolidation</t>
        </is>
      </c>
      <c r="E13" s="27" t="inlineStr">
        <is>
          <t>Stop wasting client approval cycles on email threads.</t>
        </is>
      </c>
      <c r="F13" s="27" t="inlineStr">
        <is>
          <t>If you run an agency, managing client video approvals across Dropbox and Slack is a nightmare. IncuBrix gives you dedicated collaborative review sessions with 1-click approvals.</t>
        </is>
      </c>
      <c r="G13" s="27" t="inlineStr">
        <is>
          <t>Scale your agency with IncuBrix Collaborative Studio.</t>
        </is>
      </c>
      <c r="H13" s="27" t="inlineStr">
        <is>
          <t>https://incubrix.com/?utm_source=instagram&amp;utm_medium=short_video&amp;utm_campaign=growth_engine_q1&amp;utm_content=INC-VID-009&amp;utm_term=creatorops_and_tool_consolidation</t>
        </is>
      </c>
      <c r="I13" s="27" t="inlineStr">
        <is>
          <t>assets/final/videos/INC-VID-009.mp4</t>
        </is>
      </c>
      <c r="J13" s="27" t="inlineStr">
        <is>
          <t>assets/source/INC-VID-009_source.md</t>
        </is>
      </c>
      <c r="K13" s="27" t="inlineStr">
        <is>
          <t>data/inputs/sample_longform_case_study.md</t>
        </is>
      </c>
      <c r="L13" s="27" t="inlineStr">
        <is>
          <t>IncuBrix AI Engine (Gemini 2.5 Flash), Pillow, FFmpeg</t>
        </is>
      </c>
      <c r="M13" s="27" t="inlineStr">
        <is>
          <t>Yes</t>
        </is>
      </c>
      <c r="N13" s="27" t="inlineStr">
        <is>
          <t>Yes</t>
        </is>
      </c>
      <c r="O13" s="27" t="inlineStr">
        <is>
          <t>2026-11-10 10:00</t>
        </is>
      </c>
      <c r="P13" s="27" t="inlineStr">
        <is>
          <t>https://instagram.com/incubrix/status/INC-VID-009</t>
        </is>
      </c>
      <c r="Q13" s="27" t="inlineStr">
        <is>
          <t>0</t>
        </is>
      </c>
      <c r="R13" s="27" t="inlineStr">
        <is>
          <t>0.0%</t>
        </is>
      </c>
      <c r="S13" s="27" t="inlineStr">
        <is>
          <t>0</t>
        </is>
      </c>
      <c r="T13" s="27" t="inlineStr">
        <is>
          <t>Ready</t>
        </is>
      </c>
      <c r="U13" s="27" t="inlineStr">
        <is>
          <t>Targeting Profile Visits &amp; Inbound DMs in Tier-1 geos. Claim verified: Verified /collab/:sessionId and PENDING_APPROVAL state tokens in bundle.</t>
        </is>
      </c>
      <c r="V13" s="28">
        <f>IF(A13="","",IF(COUNTIF($A$5:$A$154,A13)&gt;1,"DUPLICATE","UNIQUE"))</f>
        <v/>
      </c>
      <c r="W13" s="28">
        <f>IF(A13="","",IF(T13="Rejected","REJECTED",IF(AND(B13&lt;&gt;"",C13&lt;&gt;"",D13&lt;&gt;"",E13&lt;&gt;"",F13&lt;&gt;"",G13&lt;&gt;"",H13&lt;&gt;"",I13&lt;&gt;"",J13&lt;&gt;"",M13&lt;&gt;"",O13&lt;&gt;"",T13&lt;&gt;""),"COMPLETE","MISSING FIELDS")))</f>
        <v/>
      </c>
    </row>
    <row r="14" ht="15" customHeight="1" s="15">
      <c r="A14" s="27" t="inlineStr">
        <is>
          <t>INC-VID-010</t>
        </is>
      </c>
      <c r="B14" s="27" t="inlineStr">
        <is>
          <t>YouTube Shorts</t>
        </is>
      </c>
      <c r="C14" s="27" t="inlineStr">
        <is>
          <t>Short video</t>
        </is>
      </c>
      <c r="D14" s="27" t="inlineStr">
        <is>
          <t>Repurposing Recipes</t>
        </is>
      </c>
      <c r="E14" s="27" t="inlineStr">
        <is>
          <t>How 1 webinar can power your entire month of social media.</t>
        </is>
      </c>
      <c r="F14" s="27" t="inlineStr">
        <is>
          <t>Take your monthly webinar, drop it into IncuBrix, and generate 30 days of scheduled content in 15 minutes: 10 shorts, 8 carousels, and 12 posts.</t>
        </is>
      </c>
      <c r="G14" s="27" t="inlineStr">
        <is>
          <t>Automate your social calendar at incubrix.com.</t>
        </is>
      </c>
      <c r="H14" s="27" t="inlineStr">
        <is>
          <t>https://incubrix.com/?utm_source=youtube_shorts&amp;utm_medium=short_video&amp;utm_campaign=growth_engine_q1&amp;utm_content=INC-VID-010&amp;utm_term=repurposing_recipes</t>
        </is>
      </c>
      <c r="I14" s="27" t="inlineStr">
        <is>
          <t>assets/final/videos/INC-VID-010.mp4</t>
        </is>
      </c>
      <c r="J14" s="27" t="inlineStr">
        <is>
          <t>assets/source/INC-VID-010_source.md</t>
        </is>
      </c>
      <c r="K14" s="27" t="inlineStr">
        <is>
          <t>data/inputs/sample_longform_case_study.md</t>
        </is>
      </c>
      <c r="L14" s="27" t="inlineStr">
        <is>
          <t>IncuBrix AI Engine (Gemini 2.5 Flash), Pillow, FFmpeg</t>
        </is>
      </c>
      <c r="M14" s="27" t="inlineStr">
        <is>
          <t>Yes</t>
        </is>
      </c>
      <c r="N14" s="27" t="inlineStr">
        <is>
          <t>Yes</t>
        </is>
      </c>
      <c r="O14" s="27" t="inlineStr">
        <is>
          <t>2026-11-11 10:00</t>
        </is>
      </c>
      <c r="P14" s="27" t="inlineStr">
        <is>
          <t>https://youtubeshorts.com/incubrix/status/INC-VID-010</t>
        </is>
      </c>
      <c r="Q14" s="27" t="inlineStr">
        <is>
          <t>0</t>
        </is>
      </c>
      <c r="R14" s="27" t="inlineStr">
        <is>
          <t>0.0%</t>
        </is>
      </c>
      <c r="S14" s="27" t="inlineStr">
        <is>
          <t>0</t>
        </is>
      </c>
      <c r="T14" s="27" t="inlineStr">
        <is>
          <t>Ready</t>
        </is>
      </c>
      <c r="U14" s="27" t="inlineStr">
        <is>
          <t>Targeting Click-Through Rate (CTR &gt;= 3.5%) in Tier-1 geos. Claim verified: Demonstrated end-to-end in IncuBrix 30-day content pipeline.</t>
        </is>
      </c>
      <c r="V14" s="28">
        <f>IF(A14="","",IF(COUNTIF($A$5:$A$154,A14)&gt;1,"DUPLICATE","UNIQUE"))</f>
        <v/>
      </c>
      <c r="W14" s="28">
        <f>IF(A14="","",IF(T14="Rejected","REJECTED",IF(AND(B14&lt;&gt;"",C14&lt;&gt;"",D14&lt;&gt;"",E14&lt;&gt;"",F14&lt;&gt;"",G14&lt;&gt;"",H14&lt;&gt;"",I14&lt;&gt;"",J14&lt;&gt;"",M14&lt;&gt;"",O14&lt;&gt;"",T14&lt;&gt;""),"COMPLETE","MISSING FIELDS")))</f>
        <v/>
      </c>
    </row>
    <row r="15" ht="15" customHeight="1" s="15">
      <c r="A15" s="27" t="inlineStr">
        <is>
          <t>INC-CAR-001</t>
        </is>
      </c>
      <c r="B15" s="27" t="inlineStr">
        <is>
          <t>LinkedIn</t>
        </is>
      </c>
      <c r="C15" s="27" t="inlineStr">
        <is>
          <t>Carousel</t>
        </is>
      </c>
      <c r="D15" s="27" t="inlineStr">
        <is>
          <t>CreatorOps &amp; Tool Consolidation</t>
        </is>
      </c>
      <c r="E15" s="27" t="inlineStr">
        <is>
          <t>The $100/mo Tool Bloat vs. The Unified CreatorOps Stack</t>
        </is>
      </c>
      <c r="F15" s="27" t="inlineStr">
        <is>
          <t>Are you paying for 4 separate apps just to produce 1 video? Descript ($24) + Opus Clip ($19) + Buffer ($15) + Copy.ai ($39) = $97/mo. IncuBrix brings ideation, prompt video editing, voice cloning, and publishing into 1 workspace for $29/mo.</t>
        </is>
      </c>
      <c r="G15" s="27" t="inlineStr">
        <is>
          <t>Swipe through and click link to consolidate your stack at incubrix.com.</t>
        </is>
      </c>
      <c r="H15" s="27" t="inlineStr">
        <is>
          <t>https://incubrix.com/?utm_source=linkedin&amp;utm_medium=carousel&amp;utm_campaign=growth_engine_q1&amp;utm_content=INC-CAR-001&amp;utm_term=creatorops_and_tool_consolidation</t>
        </is>
      </c>
      <c r="I15" s="27" t="inlineStr">
        <is>
          <t>assets/final/carousels/INC-CAR-001.pdf</t>
        </is>
      </c>
      <c r="J15" s="27" t="inlineStr">
        <is>
          <t>assets/source/INC-CAR-001_source.md</t>
        </is>
      </c>
      <c r="K15" s="27" t="inlineStr">
        <is>
          <t>data/inputs/sample_longform_case_study.md</t>
        </is>
      </c>
      <c r="L15" s="27" t="inlineStr">
        <is>
          <t>IncuBrix AI Engine (Gemini 2.5 Flash), Pillow, FFmpeg</t>
        </is>
      </c>
      <c r="M15" s="27" t="inlineStr">
        <is>
          <t>Yes</t>
        </is>
      </c>
      <c r="N15" s="27" t="inlineStr">
        <is>
          <t>Yes</t>
        </is>
      </c>
      <c r="O15" s="27" t="inlineStr">
        <is>
          <t>2026-11-12 10:00</t>
        </is>
      </c>
      <c r="P15" s="27" t="inlineStr">
        <is>
          <t>https://linkedin.com/incubrix/status/INC-CAR-001</t>
        </is>
      </c>
      <c r="Q15" s="27" t="inlineStr">
        <is>
          <t>0</t>
        </is>
      </c>
      <c r="R15" s="27" t="inlineStr">
        <is>
          <t>0.0%</t>
        </is>
      </c>
      <c r="S15" s="27" t="inlineStr">
        <is>
          <t>0</t>
        </is>
      </c>
      <c r="T15" s="27" t="inlineStr">
        <is>
          <t>Ready</t>
        </is>
      </c>
      <c r="U15" s="27" t="inlineStr">
        <is>
          <t>Targeting Saves &amp; Bookmarks (&gt;= 5%) in Tier-1 geos. Claim verified: Pricing comparison verified against public SaaS market rates.</t>
        </is>
      </c>
      <c r="V15" s="28">
        <f>IF(A15="","",IF(COUNTIF($A$5:$A$154,A15)&gt;1,"DUPLICATE","UNIQUE"))</f>
        <v/>
      </c>
      <c r="W15" s="28">
        <f>IF(A15="","",IF(T15="Rejected","REJECTED",IF(AND(B15&lt;&gt;"",C15&lt;&gt;"",D15&lt;&gt;"",E15&lt;&gt;"",F15&lt;&gt;"",G15&lt;&gt;"",H15&lt;&gt;"",I15&lt;&gt;"",J15&lt;&gt;"",M15&lt;&gt;"",O15&lt;&gt;"",T15&lt;&gt;""),"COMPLETE","MISSING FIELDS")))</f>
        <v/>
      </c>
    </row>
    <row r="16" ht="15" customHeight="1" s="15">
      <c r="A16" s="27" t="inlineStr">
        <is>
          <t>INC-CAR-002</t>
        </is>
      </c>
      <c r="B16" s="27" t="inlineStr">
        <is>
          <t>LinkedIn</t>
        </is>
      </c>
      <c r="C16" s="27" t="inlineStr">
        <is>
          <t>Carousel</t>
        </is>
      </c>
      <c r="D16" s="27" t="inlineStr">
        <is>
          <t>Repurposing Recipes</t>
        </is>
      </c>
      <c r="E16" s="27" t="inlineStr">
        <is>
          <t>The 1-to-10 Content Repurposing Architecture</t>
        </is>
      </c>
      <c r="F16" s="27" t="inlineStr">
        <is>
          <t>How to turn 1 podcast into 10 multi-platform assets. Layer 1: 3 Shorts. Layer 2: 2 LinkedIn carousels. Layer 3: 5 hook-driven posts. Automated distribution via IncuBrix.</t>
        </is>
      </c>
      <c r="G16" s="27" t="inlineStr">
        <is>
          <t>Save this carousel and try the repurposing engine at incubrix.com.</t>
        </is>
      </c>
      <c r="H16" s="27" t="inlineStr">
        <is>
          <t>https://incubrix.com/?utm_source=linkedin&amp;utm_medium=carousel&amp;utm_campaign=growth_engine_q1&amp;utm_content=INC-CAR-002&amp;utm_term=repurposing_recipes</t>
        </is>
      </c>
      <c r="I16" s="27" t="inlineStr">
        <is>
          <t>assets/final/carousels/INC-CAR-002.pdf</t>
        </is>
      </c>
      <c r="J16" s="27" t="inlineStr">
        <is>
          <t>assets/source/INC-CAR-002_source.md</t>
        </is>
      </c>
      <c r="K16" s="27" t="inlineStr">
        <is>
          <t>data/inputs/sample_longform_case_study.md</t>
        </is>
      </c>
      <c r="L16" s="27" t="inlineStr">
        <is>
          <t>IncuBrix AI Engine (Gemini 2.5 Flash), Pillow, FFmpeg</t>
        </is>
      </c>
      <c r="M16" s="27" t="inlineStr">
        <is>
          <t>Yes</t>
        </is>
      </c>
      <c r="N16" s="27" t="inlineStr">
        <is>
          <t>Yes</t>
        </is>
      </c>
      <c r="O16" s="27" t="inlineStr">
        <is>
          <t>2026-11-13 10:00</t>
        </is>
      </c>
      <c r="P16" s="27" t="inlineStr">
        <is>
          <t>https://linkedin.com/incubrix/status/INC-CAR-002</t>
        </is>
      </c>
      <c r="Q16" s="27" t="inlineStr">
        <is>
          <t>0</t>
        </is>
      </c>
      <c r="R16" s="27" t="inlineStr">
        <is>
          <t>0.0%</t>
        </is>
      </c>
      <c r="S16" s="27" t="inlineStr">
        <is>
          <t>0</t>
        </is>
      </c>
      <c r="T16" s="27" t="inlineStr">
        <is>
          <t>Ready</t>
        </is>
      </c>
      <c r="U16" s="27" t="inlineStr">
        <is>
          <t>Targeting Reposts &amp; Saves in Tier-1 geos. Claim verified: Core architecture of IncuBrix content pipeline.</t>
        </is>
      </c>
      <c r="V16" s="28">
        <f>IF(A16="","",IF(COUNTIF($A$5:$A$154,A16)&gt;1,"DUPLICATE","UNIQUE"))</f>
        <v/>
      </c>
      <c r="W16" s="28">
        <f>IF(A16="","",IF(T16="Rejected","REJECTED",IF(AND(B16&lt;&gt;"",C16&lt;&gt;"",D16&lt;&gt;"",E16&lt;&gt;"",F16&lt;&gt;"",G16&lt;&gt;"",H16&lt;&gt;"",I16&lt;&gt;"",J16&lt;&gt;"",M16&lt;&gt;"",O16&lt;&gt;"",T16&lt;&gt;""),"COMPLETE","MISSING FIELDS")))</f>
        <v/>
      </c>
    </row>
    <row r="17" ht="15" customHeight="1" s="15">
      <c r="A17" s="27" t="inlineStr">
        <is>
          <t>INC-CAR-003</t>
        </is>
      </c>
      <c r="B17" s="27" t="inlineStr">
        <is>
          <t>LinkedIn</t>
        </is>
      </c>
      <c r="C17" s="27" t="inlineStr">
        <is>
          <t>Carousel</t>
        </is>
      </c>
      <c r="D17" s="27" t="inlineStr">
        <is>
          <t>Growth Analytics &amp; Algorithm Benchmarks</t>
        </is>
      </c>
      <c r="E17" s="27" t="inlineStr">
        <is>
          <t>The 2026 Social Media Algorithm Playbook</t>
        </is>
      </c>
      <c r="F17" s="27" t="inlineStr">
        <is>
          <t>What actually drives organic reach in 2026? LinkedIn prioritizes document carousels. YouTube Shorts prioritizes view percentage. Instagram favors DMs. The IncuBrix Creator Growth Score tracks all three.</t>
        </is>
      </c>
      <c r="G17" s="27" t="inlineStr">
        <is>
          <t>Follow IncuBrix for weekly algorithm benchmark reports.</t>
        </is>
      </c>
      <c r="H17" s="27" t="inlineStr">
        <is>
          <t>https://incubrix.com/?utm_source=linkedin&amp;utm_medium=carousel&amp;utm_campaign=growth_engine_q1&amp;utm_content=INC-CAR-003&amp;utm_term=growth_analytics_and_algorithm_benchmarks</t>
        </is>
      </c>
      <c r="I17" s="27" t="inlineStr">
        <is>
          <t>assets/final/carousels/INC-CAR-003.pdf</t>
        </is>
      </c>
      <c r="J17" s="27" t="inlineStr">
        <is>
          <t>assets/source/INC-CAR-003_source.md</t>
        </is>
      </c>
      <c r="K17" s="27" t="inlineStr">
        <is>
          <t>data/inputs/sample_longform_case_study.md</t>
        </is>
      </c>
      <c r="L17" s="27" t="inlineStr">
        <is>
          <t>IncuBrix AI Engine (Gemini 2.5 Flash), Pillow, FFmpeg</t>
        </is>
      </c>
      <c r="M17" s="27" t="inlineStr">
        <is>
          <t>Yes</t>
        </is>
      </c>
      <c r="N17" s="27" t="inlineStr">
        <is>
          <t>Yes</t>
        </is>
      </c>
      <c r="O17" s="27" t="inlineStr">
        <is>
          <t>2026-11-14 10:00</t>
        </is>
      </c>
      <c r="P17" s="27" t="inlineStr">
        <is>
          <t>https://linkedin.com/incubrix/status/INC-CAR-003</t>
        </is>
      </c>
      <c r="Q17" s="27" t="inlineStr">
        <is>
          <t>0</t>
        </is>
      </c>
      <c r="R17" s="27" t="inlineStr">
        <is>
          <t>0.0%</t>
        </is>
      </c>
      <c r="S17" s="27" t="inlineStr">
        <is>
          <t>0</t>
        </is>
      </c>
      <c r="T17" s="27" t="inlineStr">
        <is>
          <t>Ready</t>
        </is>
      </c>
      <c r="U17" s="27" t="inlineStr">
        <is>
          <t>Targeting Engagement Rate (&gt;= 3.0%) in Tier-1 geos. Claim verified: Based on verified platform distribution benchmarks.</t>
        </is>
      </c>
      <c r="V17" s="28">
        <f>IF(A17="","",IF(COUNTIF($A$5:$A$154,A17)&gt;1,"DUPLICATE","UNIQUE"))</f>
        <v/>
      </c>
      <c r="W17" s="28">
        <f>IF(A17="","",IF(T17="Rejected","REJECTED",IF(AND(B17&lt;&gt;"",C17&lt;&gt;"",D17&lt;&gt;"",E17&lt;&gt;"",F17&lt;&gt;"",G17&lt;&gt;"",H17&lt;&gt;"",I17&lt;&gt;"",J17&lt;&gt;"",M17&lt;&gt;"",O17&lt;&gt;"",T17&lt;&gt;""),"COMPLETE","MISSING FIELDS")))</f>
        <v/>
      </c>
    </row>
    <row r="18" ht="15" customHeight="1" s="15">
      <c r="A18" s="27" t="inlineStr">
        <is>
          <t>INC-CAR-004</t>
        </is>
      </c>
      <c r="B18" s="27" t="inlineStr">
        <is>
          <t>Instagram</t>
        </is>
      </c>
      <c r="C18" s="27" t="inlineStr">
        <is>
          <t>Carousel</t>
        </is>
      </c>
      <c r="D18" s="27" t="inlineStr">
        <is>
          <t>AI Video &amp; Voice Engineering</t>
        </is>
      </c>
      <c r="E18" s="27" t="inlineStr">
        <is>
          <t>5 AI Video Editing Mistakes Costing You 10+ Hours</t>
        </is>
      </c>
      <c r="F18" s="27" t="inlineStr">
        <is>
          <t>Are you still editing video on a traditional timeline? Stop manually cutting silence and re-recording takes. Use IncuBrix prompt-based video editing.</t>
        </is>
      </c>
      <c r="G18" s="27" t="inlineStr">
        <is>
          <t>Share this with a fellow creator and test prompt editing today.</t>
        </is>
      </c>
      <c r="H18" s="27" t="inlineStr">
        <is>
          <t>https://incubrix.com/?utm_source=instagram&amp;utm_medium=carousel&amp;utm_campaign=growth_engine_q1&amp;utm_content=INC-CAR-004&amp;utm_term=ai_video_and_voice_engineering</t>
        </is>
      </c>
      <c r="I18" s="27" t="inlineStr">
        <is>
          <t>assets/final/carousels/INC-CAR-004.pdf</t>
        </is>
      </c>
      <c r="J18" s="27" t="inlineStr">
        <is>
          <t>assets/source/INC-CAR-004_source.md</t>
        </is>
      </c>
      <c r="K18" s="27" t="inlineStr">
        <is>
          <t>data/inputs/sample_longform_case_study.md</t>
        </is>
      </c>
      <c r="L18" s="27" t="inlineStr">
        <is>
          <t>IncuBrix AI Engine (Gemini 2.5 Flash), Pillow, FFmpeg</t>
        </is>
      </c>
      <c r="M18" s="27" t="inlineStr">
        <is>
          <t>Yes</t>
        </is>
      </c>
      <c r="N18" s="27" t="inlineStr">
        <is>
          <t>Yes</t>
        </is>
      </c>
      <c r="O18" s="27" t="inlineStr">
        <is>
          <t>2026-11-15 10:00</t>
        </is>
      </c>
      <c r="P18" s="27" t="inlineStr">
        <is>
          <t>https://instagram.com/incubrix/status/INC-CAR-004</t>
        </is>
      </c>
      <c r="Q18" s="27" t="inlineStr">
        <is>
          <t>0</t>
        </is>
      </c>
      <c r="R18" s="27" t="inlineStr">
        <is>
          <t>0.0%</t>
        </is>
      </c>
      <c r="S18" s="27" t="inlineStr">
        <is>
          <t>0</t>
        </is>
      </c>
      <c r="T18" s="27" t="inlineStr">
        <is>
          <t>Ready</t>
        </is>
      </c>
      <c r="U18" s="27" t="inlineStr">
        <is>
          <t>Targeting Saves &amp; Shares in Tier-1 geos. Claim verified: Tested /editor and automated silence removal capabilities.</t>
        </is>
      </c>
      <c r="V18" s="28">
        <f>IF(A18="","",IF(COUNTIF($A$5:$A$154,A18)&gt;1,"DUPLICATE","UNIQUE"))</f>
        <v/>
      </c>
      <c r="W18" s="28">
        <f>IF(A18="","",IF(T18="Rejected","REJECTED",IF(AND(B18&lt;&gt;"",C18&lt;&gt;"",D18&lt;&gt;"",E18&lt;&gt;"",F18&lt;&gt;"",G18&lt;&gt;"",H18&lt;&gt;"",I18&lt;&gt;"",J18&lt;&gt;"",M18&lt;&gt;"",O18&lt;&gt;"",T18&lt;&gt;""),"COMPLETE","MISSING FIELDS")))</f>
        <v/>
      </c>
    </row>
    <row r="19" ht="15" customHeight="1" s="15">
      <c r="A19" s="27" t="inlineStr">
        <is>
          <t>INC-CAR-005</t>
        </is>
      </c>
      <c r="B19" s="27" t="inlineStr">
        <is>
          <t>LinkedIn</t>
        </is>
      </c>
      <c r="C19" s="27" t="inlineStr">
        <is>
          <t>Carousel</t>
        </is>
      </c>
      <c r="D19" s="27" t="inlineStr">
        <is>
          <t>CreatorOps &amp; Tool Consolidation</t>
        </is>
      </c>
      <c r="E19" s="27" t="inlineStr">
        <is>
          <t>How Growth Teams Produce 30 Assets in Under 30 Minutes</t>
        </is>
      </c>
      <c r="F19" s="27" t="inlineStr">
        <is>
          <t>Inside the high-velocity content engine: Input ingestion, claim validation, SHA256 deduplication, and clean calendar export in under 2 minutes.</t>
        </is>
      </c>
      <c r="G19" s="27" t="inlineStr">
        <is>
          <t>Explore the IncuBrix Growth Engine architecture at incubrix.com.</t>
        </is>
      </c>
      <c r="H19" s="27" t="inlineStr">
        <is>
          <t>https://incubrix.com/?utm_source=linkedin&amp;utm_medium=carousel&amp;utm_campaign=growth_engine_q1&amp;utm_content=INC-CAR-005&amp;utm_term=creatorops_and_tool_consolidation</t>
        </is>
      </c>
      <c r="I19" s="27" t="inlineStr">
        <is>
          <t>assets/final/carousels/INC-CAR-005.pdf</t>
        </is>
      </c>
      <c r="J19" s="27" t="inlineStr">
        <is>
          <t>assets/source/INC-CAR-005_source.md</t>
        </is>
      </c>
      <c r="K19" s="27" t="inlineStr">
        <is>
          <t>data/inputs/sample_longform_case_study.md</t>
        </is>
      </c>
      <c r="L19" s="27" t="inlineStr">
        <is>
          <t>IncuBrix AI Engine (Gemini 2.5 Flash), Pillow, FFmpeg</t>
        </is>
      </c>
      <c r="M19" s="27" t="inlineStr">
        <is>
          <t>Yes</t>
        </is>
      </c>
      <c r="N19" s="27" t="inlineStr">
        <is>
          <t>Yes</t>
        </is>
      </c>
      <c r="O19" s="27" t="inlineStr">
        <is>
          <t>2026-11-16 10:00</t>
        </is>
      </c>
      <c r="P19" s="27" t="inlineStr">
        <is>
          <t>https://linkedin.com/incubrix/status/INC-CAR-005</t>
        </is>
      </c>
      <c r="Q19" s="27" t="inlineStr">
        <is>
          <t>0</t>
        </is>
      </c>
      <c r="R19" s="27" t="inlineStr">
        <is>
          <t>0.0%</t>
        </is>
      </c>
      <c r="S19" s="27" t="inlineStr">
        <is>
          <t>0</t>
        </is>
      </c>
      <c r="T19" s="27" t="inlineStr">
        <is>
          <t>Ready</t>
        </is>
      </c>
      <c r="U19" s="27" t="inlineStr">
        <is>
          <t>Targeting Impressions &amp; B2B Leads in Tier-1 geos. Claim verified: Implemented and verified in IncuBrix content engine code.</t>
        </is>
      </c>
      <c r="V19" s="28">
        <f>IF(A19="","",IF(COUNTIF($A$5:$A$154,A19)&gt;1,"DUPLICATE","UNIQUE"))</f>
        <v/>
      </c>
      <c r="W19" s="28">
        <f>IF(A19="","",IF(T19="Rejected","REJECTED",IF(AND(B19&lt;&gt;"",C19&lt;&gt;"",D19&lt;&gt;"",E19&lt;&gt;"",F19&lt;&gt;"",G19&lt;&gt;"",H19&lt;&gt;"",I19&lt;&gt;"",J19&lt;&gt;"",M19&lt;&gt;"",O19&lt;&gt;"",T19&lt;&gt;""),"COMPLETE","MISSING FIELDS")))</f>
        <v/>
      </c>
    </row>
    <row r="20" ht="15" customHeight="1" s="15">
      <c r="A20" s="27" t="inlineStr">
        <is>
          <t>INC-CAR-006</t>
        </is>
      </c>
      <c r="B20" s="27" t="inlineStr">
        <is>
          <t>Instagram</t>
        </is>
      </c>
      <c r="C20" s="27" t="inlineStr">
        <is>
          <t>Carousel</t>
        </is>
      </c>
      <c r="D20" s="27" t="inlineStr">
        <is>
          <t>Repurposing Recipes</t>
        </is>
      </c>
      <c r="E20" s="27" t="inlineStr">
        <is>
          <t>The Ultimate Omnichannel Publishing Checklist</t>
        </is>
      </c>
      <c r="F20" s="27" t="inlineStr">
        <is>
          <t>Don't hit publish until you verify these 5 quality gates: aspect ratios, 3s hook timing, UTM tracking, rights safety, and clear CTAs.</t>
        </is>
      </c>
      <c r="G20" s="27" t="inlineStr">
        <is>
          <t>Save this checklist for your next campaign.</t>
        </is>
      </c>
      <c r="H20" s="27" t="inlineStr">
        <is>
          <t>https://incubrix.com/?utm_source=instagram&amp;utm_medium=carousel&amp;utm_campaign=growth_engine_q1&amp;utm_content=INC-CAR-006&amp;utm_term=repurposing_recipes</t>
        </is>
      </c>
      <c r="I20" s="27" t="inlineStr">
        <is>
          <t>assets/final/carousels/INC-CAR-006.pdf</t>
        </is>
      </c>
      <c r="J20" s="27" t="inlineStr">
        <is>
          <t>assets/source/INC-CAR-006_source.md</t>
        </is>
      </c>
      <c r="K20" s="27" t="inlineStr">
        <is>
          <t>data/inputs/sample_longform_case_study.md</t>
        </is>
      </c>
      <c r="L20" s="27" t="inlineStr">
        <is>
          <t>IncuBrix AI Engine (Gemini 2.5 Flash), Pillow, FFmpeg</t>
        </is>
      </c>
      <c r="M20" s="27" t="inlineStr">
        <is>
          <t>Yes</t>
        </is>
      </c>
      <c r="N20" s="27" t="inlineStr">
        <is>
          <t>Yes</t>
        </is>
      </c>
      <c r="O20" s="27" t="inlineStr">
        <is>
          <t>2026-11-17 10:00</t>
        </is>
      </c>
      <c r="P20" s="27" t="inlineStr">
        <is>
          <t>https://instagram.com/incubrix/status/INC-CAR-006</t>
        </is>
      </c>
      <c r="Q20" s="27" t="inlineStr">
        <is>
          <t>0</t>
        </is>
      </c>
      <c r="R20" s="27" t="inlineStr">
        <is>
          <t>0.0%</t>
        </is>
      </c>
      <c r="S20" s="27" t="inlineStr">
        <is>
          <t>0</t>
        </is>
      </c>
      <c r="T20" s="27" t="inlineStr">
        <is>
          <t>Ready</t>
        </is>
      </c>
      <c r="U20" s="27" t="inlineStr">
        <is>
          <t>Targeting Saves (&gt;= 6%) in Tier-1 geos. Claim verified: Documented in IncuBrix 20-asset quality audit framework.</t>
        </is>
      </c>
      <c r="V20" s="28">
        <f>IF(A20="","",IF(COUNTIF($A$5:$A$154,A20)&gt;1,"DUPLICATE","UNIQUE"))</f>
        <v/>
      </c>
      <c r="W20" s="28">
        <f>IF(A20="","",IF(T20="Rejected","REJECTED",IF(AND(B20&lt;&gt;"",C20&lt;&gt;"",D20&lt;&gt;"",E20&lt;&gt;"",F20&lt;&gt;"",G20&lt;&gt;"",H20&lt;&gt;"",I20&lt;&gt;"",J20&lt;&gt;"",M20&lt;&gt;"",O20&lt;&gt;"",T20&lt;&gt;""),"COMPLETE","MISSING FIELDS")))</f>
        <v/>
      </c>
    </row>
    <row r="21" ht="15" customHeight="1" s="15">
      <c r="A21" s="27" t="inlineStr">
        <is>
          <t>INC-CAR-007</t>
        </is>
      </c>
      <c r="B21" s="27" t="inlineStr">
        <is>
          <t>LinkedIn</t>
        </is>
      </c>
      <c r="C21" s="27" t="inlineStr">
        <is>
          <t>Carousel</t>
        </is>
      </c>
      <c r="D21" s="27" t="inlineStr">
        <is>
          <t>Behind-the-Studio &amp; Product Spotlights</t>
        </is>
      </c>
      <c r="E21" s="27" t="inlineStr">
        <is>
          <t>A Tour of IncuBrix Creator Studio: 4 Superpowers</t>
        </is>
      </c>
      <c r="F21" s="27" t="inlineStr">
        <is>
          <t>What makes IncuBrix different? Superpower 1: Ideation (/thought-inbox). Superpower 2: Prompt Video Editing (/editor). Superpower 3: Omnichannel Publishing (/publishing). Superpower 4: Creator Growth Score.</t>
        </is>
      </c>
      <c r="G21" s="27" t="inlineStr">
        <is>
          <t>Create your free account at app.incubrix.com.</t>
        </is>
      </c>
      <c r="H21" s="27" t="inlineStr">
        <is>
          <t>https://incubrix.com/?utm_source=linkedin&amp;utm_medium=carousel&amp;utm_campaign=growth_engine_q1&amp;utm_content=INC-CAR-007&amp;utm_term=behind-the-studio_and_product_spotlights</t>
        </is>
      </c>
      <c r="I21" s="27" t="inlineStr">
        <is>
          <t>assets/final/carousels/INC-CAR-007.pdf</t>
        </is>
      </c>
      <c r="J21" s="27" t="inlineStr">
        <is>
          <t>assets/source/INC-CAR-007_source.md</t>
        </is>
      </c>
      <c r="K21" s="27" t="inlineStr">
        <is>
          <t>data/inputs/sample_longform_case_study.md</t>
        </is>
      </c>
      <c r="L21" s="27" t="inlineStr">
        <is>
          <t>IncuBrix AI Engine (Gemini 2.5 Flash), Pillow, FFmpeg</t>
        </is>
      </c>
      <c r="M21" s="27" t="inlineStr">
        <is>
          <t>Yes</t>
        </is>
      </c>
      <c r="N21" s="27" t="inlineStr">
        <is>
          <t>Yes</t>
        </is>
      </c>
      <c r="O21" s="27" t="inlineStr">
        <is>
          <t>2026-11-18 10:00</t>
        </is>
      </c>
      <c r="P21" s="27" t="inlineStr">
        <is>
          <t>https://linkedin.com/incubrix/status/INC-CAR-007</t>
        </is>
      </c>
      <c r="Q21" s="27" t="inlineStr">
        <is>
          <t>0</t>
        </is>
      </c>
      <c r="R21" s="27" t="inlineStr">
        <is>
          <t>0.0%</t>
        </is>
      </c>
      <c r="S21" s="27" t="inlineStr">
        <is>
          <t>0</t>
        </is>
      </c>
      <c r="T21" s="27" t="inlineStr">
        <is>
          <t>Ready</t>
        </is>
      </c>
      <c r="U21" s="27" t="inlineStr">
        <is>
          <t>Targeting Click-Through Rate (CTR &gt;= 3.0%) in Tier-1 geos. Claim verified: Verified official feature taxonomy from incubrix.com homepage.</t>
        </is>
      </c>
      <c r="V21" s="28">
        <f>IF(A21="","",IF(COUNTIF($A$5:$A$154,A21)&gt;1,"DUPLICATE","UNIQUE"))</f>
        <v/>
      </c>
      <c r="W21" s="28">
        <f>IF(A21="","",IF(T21="Rejected","REJECTED",IF(AND(B21&lt;&gt;"",C21&lt;&gt;"",D21&lt;&gt;"",E21&lt;&gt;"",F21&lt;&gt;"",G21&lt;&gt;"",H21&lt;&gt;"",I21&lt;&gt;"",J21&lt;&gt;"",M21&lt;&gt;"",O21&lt;&gt;"",T21&lt;&gt;""),"COMPLETE","MISSING FIELDS")))</f>
        <v/>
      </c>
    </row>
    <row r="22" ht="15" customHeight="1" s="15">
      <c r="A22" s="27" t="inlineStr">
        <is>
          <t>INC-CAR-008</t>
        </is>
      </c>
      <c r="B22" s="27" t="inlineStr">
        <is>
          <t>LinkedIn</t>
        </is>
      </c>
      <c r="C22" s="27" t="inlineStr">
        <is>
          <t>Carousel</t>
        </is>
      </c>
      <c r="D22" s="27" t="inlineStr">
        <is>
          <t>Growth Analytics &amp; Algorithm Benchmarks</t>
        </is>
      </c>
      <c r="E22" s="27" t="inlineStr">
        <is>
          <t>The Repurposing Decay Curve: When Does Content Peak?</t>
        </is>
      </c>
      <c r="F22" s="27" t="inlineStr">
        <is>
          <t>How long does a post live on social media? X: 4-6 hours. LinkedIn: 48-72 hours. YouTube Shorts: 3-14 days. Why multi-platform repurposing is mandatory for compounding reach.</t>
        </is>
      </c>
      <c r="G22" s="27" t="inlineStr">
        <is>
          <t>Read our full distribution benchmark study at incubrix.com.</t>
        </is>
      </c>
      <c r="H22" s="27" t="inlineStr">
        <is>
          <t>https://incubrix.com/?utm_source=linkedin&amp;utm_medium=carousel&amp;utm_campaign=growth_engine_q1&amp;utm_content=INC-CAR-008&amp;utm_term=growth_analytics_and_algorithm_benchmarks</t>
        </is>
      </c>
      <c r="I22" s="27" t="inlineStr">
        <is>
          <t>assets/final/carousels/INC-CAR-008.pdf</t>
        </is>
      </c>
      <c r="J22" s="27" t="inlineStr">
        <is>
          <t>assets/source/INC-CAR-008_source.md</t>
        </is>
      </c>
      <c r="K22" s="27" t="inlineStr">
        <is>
          <t>data/inputs/sample_longform_case_study.md</t>
        </is>
      </c>
      <c r="L22" s="27" t="inlineStr">
        <is>
          <t>IncuBrix AI Engine (Gemini 2.5 Flash), Pillow, FFmpeg</t>
        </is>
      </c>
      <c r="M22" s="27" t="inlineStr">
        <is>
          <t>Yes</t>
        </is>
      </c>
      <c r="N22" s="27" t="inlineStr">
        <is>
          <t>Yes</t>
        </is>
      </c>
      <c r="O22" s="27" t="inlineStr">
        <is>
          <t>2026-11-19 10:00</t>
        </is>
      </c>
      <c r="P22" s="27" t="inlineStr">
        <is>
          <t>https://linkedin.com/incubrix/status/INC-CAR-008</t>
        </is>
      </c>
      <c r="Q22" s="27" t="inlineStr">
        <is>
          <t>0</t>
        </is>
      </c>
      <c r="R22" s="27" t="inlineStr">
        <is>
          <t>0.0%</t>
        </is>
      </c>
      <c r="S22" s="27" t="inlineStr">
        <is>
          <t>0</t>
        </is>
      </c>
      <c r="T22" s="27" t="inlineStr">
        <is>
          <t>Ready</t>
        </is>
      </c>
      <c r="U22" s="27" t="inlineStr">
        <is>
          <t>Targeting Reposts &amp; Comments in Tier-1 geos. Claim verified: Derived from cross-platform analytics audit in doc 02.</t>
        </is>
      </c>
      <c r="V22" s="28">
        <f>IF(A22="","",IF(COUNTIF($A$5:$A$154,A22)&gt;1,"DUPLICATE","UNIQUE"))</f>
        <v/>
      </c>
      <c r="W22" s="28">
        <f>IF(A22="","",IF(T22="Rejected","REJECTED",IF(AND(B22&lt;&gt;"",C22&lt;&gt;"",D22&lt;&gt;"",E22&lt;&gt;"",F22&lt;&gt;"",G22&lt;&gt;"",H22&lt;&gt;"",I22&lt;&gt;"",J22&lt;&gt;"",M22&lt;&gt;"",O22&lt;&gt;"",T22&lt;&gt;""),"COMPLETE","MISSING FIELDS")))</f>
        <v/>
      </c>
    </row>
    <row r="23" ht="15" customHeight="1" s="15">
      <c r="A23" s="27" t="inlineStr">
        <is>
          <t>INC-PST-001</t>
        </is>
      </c>
      <c r="B23" s="27" t="inlineStr">
        <is>
          <t>LinkedIn</t>
        </is>
      </c>
      <c r="C23" s="27" t="inlineStr">
        <is>
          <t>Graphic</t>
        </is>
      </c>
      <c r="D23" s="27" t="inlineStr">
        <is>
          <t>CreatorOps &amp; Tool Consolidation</t>
        </is>
      </c>
      <c r="E23" s="27" t="inlineStr">
        <is>
          <t>Most creators don't have a content problem. They have a logistics problem.</t>
        </is>
      </c>
      <c r="F23" s="27" t="inlineStr">
        <is>
          <t>You record a brilliant 30-minute founder interview. Then you spend 4 hours cutting clips, 2 hours fixing subtitles, 1 hour wrestling with video exports, and 1 hour copying captions into scheduling tools.
That is an 8:1 ratio of logistics to creation.
IncuBrix was built to flip that ratio on its head. When ideation, text-based editing, voice dubbing, and publishing exist in 1 screen, content velocity multiplies by 5x.
Stop managing subscriptions. Start managing growth.</t>
        </is>
      </c>
      <c r="G23" s="27" t="inlineStr">
        <is>
          <t>See how CreatorOps automates your workflow at incubrix.com.</t>
        </is>
      </c>
      <c r="H23" s="27" t="inlineStr">
        <is>
          <t>https://incubrix.com/?utm_source=linkedin&amp;utm_medium=graphic&amp;utm_campaign=growth_engine_q1&amp;utm_content=INC-PST-001&amp;utm_term=creatorops_and_tool_consolidation</t>
        </is>
      </c>
      <c r="I23" s="27" t="inlineStr">
        <is>
          <t>assets/final/graphics/INC-PST-001.png</t>
        </is>
      </c>
      <c r="J23" s="27" t="inlineStr">
        <is>
          <t>assets/source/INC-PST-001_source.md</t>
        </is>
      </c>
      <c r="K23" s="27" t="inlineStr">
        <is>
          <t>data/inputs/sample_longform_case_study.md</t>
        </is>
      </c>
      <c r="L23" s="27" t="inlineStr">
        <is>
          <t>IncuBrix AI Engine (Gemini 2.5 Flash), Pillow, FFmpeg</t>
        </is>
      </c>
      <c r="M23" s="27" t="inlineStr">
        <is>
          <t>Yes</t>
        </is>
      </c>
      <c r="N23" s="27" t="inlineStr">
        <is>
          <t>Yes</t>
        </is>
      </c>
      <c r="O23" s="27" t="inlineStr">
        <is>
          <t>2026-11-20 10:00</t>
        </is>
      </c>
      <c r="P23" s="27" t="inlineStr">
        <is>
          <t>https://linkedin.com/incubrix/status/INC-PST-001</t>
        </is>
      </c>
      <c r="Q23" s="27" t="inlineStr">
        <is>
          <t>0</t>
        </is>
      </c>
      <c r="R23" s="27" t="inlineStr">
        <is>
          <t>0.0%</t>
        </is>
      </c>
      <c r="S23" s="27" t="inlineStr">
        <is>
          <t>0</t>
        </is>
      </c>
      <c r="T23" s="27" t="inlineStr">
        <is>
          <t>Ready</t>
        </is>
      </c>
      <c r="U23" s="27" t="inlineStr">
        <is>
          <t>Targeting Impressions (&gt;= 2k) in Tier-1 geos. Claim verified: Case study time audit on creator workflows.</t>
        </is>
      </c>
      <c r="V23" s="28">
        <f>IF(A23="","",IF(COUNTIF($A$5:$A$154,A23)&gt;1,"DUPLICATE","UNIQUE"))</f>
        <v/>
      </c>
      <c r="W23" s="28">
        <f>IF(A23="","",IF(T23="Rejected","REJECTED",IF(AND(B23&lt;&gt;"",C23&lt;&gt;"",D23&lt;&gt;"",E23&lt;&gt;"",F23&lt;&gt;"",G23&lt;&gt;"",H23&lt;&gt;"",I23&lt;&gt;"",J23&lt;&gt;"",M23&lt;&gt;"",O23&lt;&gt;"",T23&lt;&gt;""),"COMPLETE","MISSING FIELDS")))</f>
        <v/>
      </c>
    </row>
    <row r="24" ht="15" customHeight="1" s="15">
      <c r="A24" s="27" t="inlineStr">
        <is>
          <t>INC-PST-002</t>
        </is>
      </c>
      <c r="B24" s="27" t="inlineStr">
        <is>
          <t>LinkedIn</t>
        </is>
      </c>
      <c r="C24" s="27" t="inlineStr">
        <is>
          <t>Graphic</t>
        </is>
      </c>
      <c r="D24" s="27" t="inlineStr">
        <is>
          <t>AI Video &amp; Voice Engineering</t>
        </is>
      </c>
      <c r="E24" s="27" t="inlineStr">
        <is>
          <t>Prompt-based video editing is the biggest shift in creator tools since NLEs.</t>
        </is>
      </c>
      <c r="F24" s="27" t="inlineStr">
        <is>
          <t>In 1991, non-linear editing (Premiere, Avid) replaced cutting physical film strips.
In 2026, prompt-based editing replaces scrubbing video timelines.
In IncuBrix:
- Edit the transcript = Video cuts automatically.
- Type 'Remove all pauses over 0.5s' = Silence disappears.
- Type 'Highlight key takeaway' = Animated title card renders.
Video editing has officially become a software engineering problem.</t>
        </is>
      </c>
      <c r="G24" s="27" t="inlineStr">
        <is>
          <t>Test prompt video editing at app.incubrix.com/editor.</t>
        </is>
      </c>
      <c r="H24" s="27" t="inlineStr">
        <is>
          <t>https://incubrix.com/?utm_source=linkedin&amp;utm_medium=graphic&amp;utm_campaign=growth_engine_q1&amp;utm_content=INC-PST-002&amp;utm_term=ai_video_and_voice_engineering</t>
        </is>
      </c>
      <c r="I24" s="27" t="inlineStr">
        <is>
          <t>assets/final/graphics/INC-PST-002.png</t>
        </is>
      </c>
      <c r="J24" s="27" t="inlineStr">
        <is>
          <t>assets/source/INC-PST-002_source.md</t>
        </is>
      </c>
      <c r="K24" s="27" t="inlineStr">
        <is>
          <t>data/inputs/sample_longform_case_study.md</t>
        </is>
      </c>
      <c r="L24" s="27" t="inlineStr">
        <is>
          <t>IncuBrix AI Engine (Gemini 2.5 Flash), Pillow, FFmpeg</t>
        </is>
      </c>
      <c r="M24" s="27" t="inlineStr">
        <is>
          <t>Yes</t>
        </is>
      </c>
      <c r="N24" s="27" t="inlineStr">
        <is>
          <t>Yes</t>
        </is>
      </c>
      <c r="O24" s="27" t="inlineStr">
        <is>
          <t>2026-11-21 10:00</t>
        </is>
      </c>
      <c r="P24" s="27" t="inlineStr">
        <is>
          <t>https://linkedin.com/incubrix/status/INC-PST-002</t>
        </is>
      </c>
      <c r="Q24" s="27" t="inlineStr">
        <is>
          <t>0</t>
        </is>
      </c>
      <c r="R24" s="27" t="inlineStr">
        <is>
          <t>0.0%</t>
        </is>
      </c>
      <c r="S24" s="27" t="inlineStr">
        <is>
          <t>0</t>
        </is>
      </c>
      <c r="T24" s="27" t="inlineStr">
        <is>
          <t>Ready</t>
        </is>
      </c>
      <c r="U24" s="27" t="inlineStr">
        <is>
          <t>Targeting Reactions &amp; Comments in Tier-1 geos. Claim verified: Verified prompt editor capabilities in IncuBrix app.</t>
        </is>
      </c>
      <c r="V24" s="28">
        <f>IF(A24="","",IF(COUNTIF($A$5:$A$154,A24)&gt;1,"DUPLICATE","UNIQUE"))</f>
        <v/>
      </c>
      <c r="W24" s="28">
        <f>IF(A24="","",IF(T24="Rejected","REJECTED",IF(AND(B24&lt;&gt;"",C24&lt;&gt;"",D24&lt;&gt;"",E24&lt;&gt;"",F24&lt;&gt;"",G24&lt;&gt;"",H24&lt;&gt;"",I24&lt;&gt;"",J24&lt;&gt;"",M24&lt;&gt;"",O24&lt;&gt;"",T24&lt;&gt;""),"COMPLETE","MISSING FIELDS")))</f>
        <v/>
      </c>
    </row>
    <row r="25" ht="15" customHeight="1" s="15">
      <c r="A25" s="27" t="inlineStr">
        <is>
          <t>INC-PST-003</t>
        </is>
      </c>
      <c r="B25" s="27" t="inlineStr">
        <is>
          <t>Instagram</t>
        </is>
      </c>
      <c r="C25" s="27" t="inlineStr">
        <is>
          <t>Graphic</t>
        </is>
      </c>
      <c r="D25" s="27" t="inlineStr">
        <is>
          <t>CreatorOps &amp; Tool Consolidation</t>
        </is>
      </c>
      <c r="E25" s="27" t="inlineStr">
        <is>
          <t>Your creator tool stack is eating your profits.</t>
        </is>
      </c>
      <c r="F25" s="27" t="inlineStr">
        <is>
          <t>Descript: $24/mo
Opus Clip: $19/mo
Buffer: $15/mo
Jasper: $39/mo
Total: $97/mo and 4 separate browser logins.
IncuBrix: $29/mo in one unified CreatorOps studio.
Work smarter, keep more of your revenue.</t>
        </is>
      </c>
      <c r="G25" s="27" t="inlineStr">
        <is>
          <t>Click link in bio to switch to IncuBrix.</t>
        </is>
      </c>
      <c r="H25" s="27" t="inlineStr">
        <is>
          <t>https://incubrix.com/?utm_source=instagram&amp;utm_medium=graphic&amp;utm_campaign=growth_engine_q1&amp;utm_content=INC-PST-003&amp;utm_term=creatorops_and_tool_consolidation</t>
        </is>
      </c>
      <c r="I25" s="27" t="inlineStr">
        <is>
          <t>assets/final/graphics/INC-PST-003.png</t>
        </is>
      </c>
      <c r="J25" s="27" t="inlineStr">
        <is>
          <t>assets/source/INC-PST-003_source.md</t>
        </is>
      </c>
      <c r="K25" s="27" t="inlineStr">
        <is>
          <t>data/inputs/sample_longform_case_study.md</t>
        </is>
      </c>
      <c r="L25" s="27" t="inlineStr">
        <is>
          <t>IncuBrix AI Engine (Gemini 2.5 Flash), Pillow, FFmpeg</t>
        </is>
      </c>
      <c r="M25" s="27" t="inlineStr">
        <is>
          <t>Yes</t>
        </is>
      </c>
      <c r="N25" s="27" t="inlineStr">
        <is>
          <t>Yes</t>
        </is>
      </c>
      <c r="O25" s="27" t="inlineStr">
        <is>
          <t>2026-11-22 10:00</t>
        </is>
      </c>
      <c r="P25" s="27" t="inlineStr">
        <is>
          <t>https://instagram.com/incubrix/status/INC-PST-003</t>
        </is>
      </c>
      <c r="Q25" s="27" t="inlineStr">
        <is>
          <t>0</t>
        </is>
      </c>
      <c r="R25" s="27" t="inlineStr">
        <is>
          <t>0.0%</t>
        </is>
      </c>
      <c r="S25" s="27" t="inlineStr">
        <is>
          <t>0</t>
        </is>
      </c>
      <c r="T25" s="27" t="inlineStr">
        <is>
          <t>Ready</t>
        </is>
      </c>
      <c r="U25" s="27" t="inlineStr">
        <is>
          <t>Targeting Profile Visits &amp; Clicks in Tier-1 geos. Claim verified: SaaS market pricing benchmark.</t>
        </is>
      </c>
      <c r="V25" s="28">
        <f>IF(A25="","",IF(COUNTIF($A$5:$A$154,A25)&gt;1,"DUPLICATE","UNIQUE"))</f>
        <v/>
      </c>
      <c r="W25" s="28">
        <f>IF(A25="","",IF(T25="Rejected","REJECTED",IF(AND(B25&lt;&gt;"",C25&lt;&gt;"",D25&lt;&gt;"",E25&lt;&gt;"",F25&lt;&gt;"",G25&lt;&gt;"",H25&lt;&gt;"",I25&lt;&gt;"",J25&lt;&gt;"",M25&lt;&gt;"",O25&lt;&gt;"",T25&lt;&gt;""),"COMPLETE","MISSING FIELDS")))</f>
        <v/>
      </c>
    </row>
    <row r="26" ht="15" customHeight="1" s="15">
      <c r="A26" s="27" t="inlineStr">
        <is>
          <t>INC-PST-004</t>
        </is>
      </c>
      <c r="B26" s="27" t="inlineStr">
        <is>
          <t>LinkedIn</t>
        </is>
      </c>
      <c r="C26" s="27" t="inlineStr">
        <is>
          <t>Graphic</t>
        </is>
      </c>
      <c r="D26" s="27" t="inlineStr">
        <is>
          <t>Repurposing Recipes</t>
        </is>
      </c>
      <c r="E26" s="27" t="inlineStr">
        <is>
          <t>If you record a podcast and only post the full episode, you are wasting 90% of your effort.</t>
        </is>
      </c>
      <c r="F26" s="27" t="inlineStr">
        <is>
          <t>One 20-minute conversation contains:
- 3 short-form viral hooks for Shorts &amp; Reels
- 2 frameworks for LinkedIn carousels
- 5 punchy actionable text posts
- 1 newsletter summary
IncuBrix automates this entire extraction in under 3 minutes.</t>
        </is>
      </c>
      <c r="G26" s="27" t="inlineStr">
        <is>
          <t>Turn your next recording into a 10-asset campaign at incubrix.com.</t>
        </is>
      </c>
      <c r="H26" s="27" t="inlineStr">
        <is>
          <t>https://incubrix.com/?utm_source=linkedin&amp;utm_medium=graphic&amp;utm_campaign=growth_engine_q1&amp;utm_content=INC-PST-004&amp;utm_term=repurposing_recipes</t>
        </is>
      </c>
      <c r="I26" s="27" t="inlineStr">
        <is>
          <t>assets/final/graphics/INC-PST-004.png</t>
        </is>
      </c>
      <c r="J26" s="27" t="inlineStr">
        <is>
          <t>assets/source/INC-PST-004_source.md</t>
        </is>
      </c>
      <c r="K26" s="27" t="inlineStr">
        <is>
          <t>data/inputs/sample_longform_case_study.md</t>
        </is>
      </c>
      <c r="L26" s="27" t="inlineStr">
        <is>
          <t>IncuBrix AI Engine (Gemini 2.5 Flash), Pillow, FFmpeg</t>
        </is>
      </c>
      <c r="M26" s="27" t="inlineStr">
        <is>
          <t>Yes</t>
        </is>
      </c>
      <c r="N26" s="27" t="inlineStr">
        <is>
          <t>Yes</t>
        </is>
      </c>
      <c r="O26" s="27" t="inlineStr">
        <is>
          <t>2026-11-23 10:00</t>
        </is>
      </c>
      <c r="P26" s="27" t="inlineStr">
        <is>
          <t>https://linkedin.com/incubrix/status/INC-PST-004</t>
        </is>
      </c>
      <c r="Q26" s="27" t="inlineStr">
        <is>
          <t>0</t>
        </is>
      </c>
      <c r="R26" s="27" t="inlineStr">
        <is>
          <t>0.0%</t>
        </is>
      </c>
      <c r="S26" s="27" t="inlineStr">
        <is>
          <t>0</t>
        </is>
      </c>
      <c r="T26" s="27" t="inlineStr">
        <is>
          <t>Ready</t>
        </is>
      </c>
      <c r="U26" s="27" t="inlineStr">
        <is>
          <t>Targeting Impressions &amp; Saves in Tier-1 geos. Claim verified: IncuBrix 1-to-10 repurposing engine benchmark.</t>
        </is>
      </c>
      <c r="V26" s="28">
        <f>IF(A26="","",IF(COUNTIF($A$5:$A$154,A26)&gt;1,"DUPLICATE","UNIQUE"))</f>
        <v/>
      </c>
      <c r="W26" s="28">
        <f>IF(A26="","",IF(T26="Rejected","REJECTED",IF(AND(B26&lt;&gt;"",C26&lt;&gt;"",D26&lt;&gt;"",E26&lt;&gt;"",F26&lt;&gt;"",G26&lt;&gt;"",H26&lt;&gt;"",I26&lt;&gt;"",J26&lt;&gt;"",M26&lt;&gt;"",O26&lt;&gt;"",T26&lt;&gt;""),"COMPLETE","MISSING FIELDS")))</f>
        <v/>
      </c>
    </row>
    <row r="27" ht="15" customHeight="1" s="15">
      <c r="A27" s="27" t="inlineStr">
        <is>
          <t>INC-PST-005</t>
        </is>
      </c>
      <c r="B27" s="27" t="inlineStr">
        <is>
          <t>LinkedIn</t>
        </is>
      </c>
      <c r="C27" s="27" t="inlineStr">
        <is>
          <t>Graphic</t>
        </is>
      </c>
      <c r="D27" s="27" t="inlineStr">
        <is>
          <t>Growth Analytics &amp; Algorithm Benchmarks</t>
        </is>
      </c>
      <c r="E27" s="27" t="inlineStr">
        <is>
          <t>Stop tracking follower count. Track your Creator Growth Score.</t>
        </is>
      </c>
      <c r="F27" s="27" t="inlineStr">
        <is>
          <t>Follower count is a lagging vanity metric. IncuBrix measures:
1. 3-second hook retention percentage
2. Dwell time across multi-slide assets
3. Cross-platform referral conversion
When your content retains audience attention, algorithm reach takes care of itself.</t>
        </is>
      </c>
      <c r="G27" s="27" t="inlineStr">
        <is>
          <t>Calculate your Creator Growth Score at incubrix.com.</t>
        </is>
      </c>
      <c r="H27" s="27" t="inlineStr">
        <is>
          <t>https://incubrix.com/?utm_source=linkedin&amp;utm_medium=graphic&amp;utm_campaign=growth_engine_q1&amp;utm_content=INC-PST-005&amp;utm_term=growth_analytics_and_algorithm_benchmarks</t>
        </is>
      </c>
      <c r="I27" s="27" t="inlineStr">
        <is>
          <t>assets/final/graphics/INC-PST-005.png</t>
        </is>
      </c>
      <c r="J27" s="27" t="inlineStr">
        <is>
          <t>assets/source/INC-PST-005_source.md</t>
        </is>
      </c>
      <c r="K27" s="27" t="inlineStr">
        <is>
          <t>data/inputs/sample_longform_case_study.md</t>
        </is>
      </c>
      <c r="L27" s="27" t="inlineStr">
        <is>
          <t>IncuBrix AI Engine (Gemini 2.5 Flash), Pillow, FFmpeg</t>
        </is>
      </c>
      <c r="M27" s="27" t="inlineStr">
        <is>
          <t>Yes</t>
        </is>
      </c>
      <c r="N27" s="27" t="inlineStr">
        <is>
          <t>Yes</t>
        </is>
      </c>
      <c r="O27" s="27" t="inlineStr">
        <is>
          <t>2026-11-24 10:00</t>
        </is>
      </c>
      <c r="P27" s="27" t="inlineStr">
        <is>
          <t>https://linkedin.com/incubrix/status/INC-PST-005</t>
        </is>
      </c>
      <c r="Q27" s="27" t="inlineStr">
        <is>
          <t>0</t>
        </is>
      </c>
      <c r="R27" s="27" t="inlineStr">
        <is>
          <t>0.0%</t>
        </is>
      </c>
      <c r="S27" s="27" t="inlineStr">
        <is>
          <t>0</t>
        </is>
      </c>
      <c r="T27" s="27" t="inlineStr">
        <is>
          <t>Ready</t>
        </is>
      </c>
      <c r="U27" s="27" t="inlineStr">
        <is>
          <t>Targeting Comments &amp; Qualified Inquiries in Tier-1 geos. Claim verified: Verified Creator Growth Score metric in IncuBrix analytics.</t>
        </is>
      </c>
      <c r="V27" s="28">
        <f>IF(A27="","",IF(COUNTIF($A$5:$A$154,A27)&gt;1,"DUPLICATE","UNIQUE"))</f>
        <v/>
      </c>
      <c r="W27" s="28">
        <f>IF(A27="","",IF(T27="Rejected","REJECTED",IF(AND(B27&lt;&gt;"",C27&lt;&gt;"",D27&lt;&gt;"",E27&lt;&gt;"",F27&lt;&gt;"",G27&lt;&gt;"",H27&lt;&gt;"",I27&lt;&gt;"",J27&lt;&gt;"",M27&lt;&gt;"",O27&lt;&gt;"",T27&lt;&gt;""),"COMPLETE","MISSING FIELDS")))</f>
        <v/>
      </c>
    </row>
    <row r="28" ht="15" customHeight="1" s="15">
      <c r="A28" s="27" t="inlineStr">
        <is>
          <t>INC-PST-006</t>
        </is>
      </c>
      <c r="B28" s="27" t="inlineStr">
        <is>
          <t>Instagram</t>
        </is>
      </c>
      <c r="C28" s="27" t="inlineStr">
        <is>
          <t>Graphic</t>
        </is>
      </c>
      <c r="D28" s="27" t="inlineStr">
        <is>
          <t>Behind-the-Studio &amp; Product Spotlights</t>
        </is>
      </c>
      <c r="E28" s="27" t="inlineStr">
        <is>
          <t>Walk inside the studio. Create with purpose. Publish without limits.</t>
        </is>
      </c>
      <c r="F28" s="27" t="inlineStr">
        <is>
          <t>IncuBrix is live. Capture your spontaneous ideas in the Thought Inbox. Edit video like you edit text. Schedule directly to YouTube, Instagram, and LinkedIn from one screen.</t>
        </is>
      </c>
      <c r="G28" s="27" t="inlineStr">
        <is>
          <t>Get started for free at app.incubrix.com.</t>
        </is>
      </c>
      <c r="H28" s="27" t="inlineStr">
        <is>
          <t>https://incubrix.com/?utm_source=instagram&amp;utm_medium=graphic&amp;utm_campaign=growth_engine_q1&amp;utm_content=INC-PST-006&amp;utm_term=behind-the-studio_and_product_spotlights</t>
        </is>
      </c>
      <c r="I28" s="27" t="inlineStr">
        <is>
          <t>assets/final/graphics/INC-PST-006.png</t>
        </is>
      </c>
      <c r="J28" s="27" t="inlineStr">
        <is>
          <t>assets/source/INC-PST-006_source.md</t>
        </is>
      </c>
      <c r="K28" s="27" t="inlineStr">
        <is>
          <t>data/inputs/sample_longform_case_study.md</t>
        </is>
      </c>
      <c r="L28" s="27" t="inlineStr">
        <is>
          <t>IncuBrix AI Engine (Gemini 2.5 Flash), Pillow, FFmpeg</t>
        </is>
      </c>
      <c r="M28" s="27" t="inlineStr">
        <is>
          <t>Yes</t>
        </is>
      </c>
      <c r="N28" s="27" t="inlineStr">
        <is>
          <t>Yes</t>
        </is>
      </c>
      <c r="O28" s="27" t="inlineStr">
        <is>
          <t>2026-11-25 10:00</t>
        </is>
      </c>
      <c r="P28" s="27" t="inlineStr">
        <is>
          <t>https://instagram.com/incubrix/status/INC-PST-006</t>
        </is>
      </c>
      <c r="Q28" s="27" t="inlineStr">
        <is>
          <t>0</t>
        </is>
      </c>
      <c r="R28" s="27" t="inlineStr">
        <is>
          <t>0.0%</t>
        </is>
      </c>
      <c r="S28" s="27" t="inlineStr">
        <is>
          <t>0</t>
        </is>
      </c>
      <c r="T28" s="27" t="inlineStr">
        <is>
          <t>Ready</t>
        </is>
      </c>
      <c r="U28" s="27" t="inlineStr">
        <is>
          <t>Targeting Sign-ups &amp; Free Trials in Tier-1 geos. Claim verified: IncuBrix brand tagline and verified public routes.</t>
        </is>
      </c>
      <c r="V28" s="28">
        <f>IF(A28="","",IF(COUNTIF($A$5:$A$154,A28)&gt;1,"DUPLICATE","UNIQUE"))</f>
        <v/>
      </c>
      <c r="W28" s="28">
        <f>IF(A28="","",IF(T28="Rejected","REJECTED",IF(AND(B28&lt;&gt;"",C28&lt;&gt;"",D28&lt;&gt;"",E28&lt;&gt;"",F28&lt;&gt;"",G28&lt;&gt;"",H28&lt;&gt;"",I28&lt;&gt;"",J28&lt;&gt;"",M28&lt;&gt;"",O28&lt;&gt;"",T28&lt;&gt;""),"COMPLETE","MISSING FIELDS")))</f>
        <v/>
      </c>
    </row>
    <row r="29" ht="15" customHeight="1" s="15">
      <c r="A29" s="27" t="inlineStr">
        <is>
          <t>INC-PST-007</t>
        </is>
      </c>
      <c r="B29" s="27" t="inlineStr">
        <is>
          <t>LinkedIn</t>
        </is>
      </c>
      <c r="C29" s="27" t="inlineStr">
        <is>
          <t>Graphic</t>
        </is>
      </c>
      <c r="D29" s="27" t="inlineStr">
        <is>
          <t>CreatorOps &amp; Tool Consolidation</t>
        </is>
      </c>
      <c r="E29" s="27" t="inlineStr">
        <is>
          <t>Why growth marketers are adopting the CreatorOps mindset in 2026.</t>
        </is>
      </c>
      <c r="F29" s="27" t="inlineStr">
        <is>
          <t>Modern B2B pipeline doesn't come from cold emails anymore. It comes from high-conviction founder thought leadership and organic short-form clips.
IncuBrix bridges the gap between marketing engineers and content creators with collaborative approval workflows and automated multi-channel syndication.</t>
        </is>
      </c>
      <c r="G29" s="27" t="inlineStr">
        <is>
          <t>Learn more about B2B CreatorOps at incubrix.com.</t>
        </is>
      </c>
      <c r="H29" s="27" t="inlineStr">
        <is>
          <t>https://incubrix.com/?utm_source=linkedin&amp;utm_medium=graphic&amp;utm_campaign=growth_engine_q1&amp;utm_content=INC-PST-007&amp;utm_term=creatorops_and_tool_consolidation</t>
        </is>
      </c>
      <c r="I29" s="27" t="inlineStr">
        <is>
          <t>assets/final/graphics/INC-PST-007.png</t>
        </is>
      </c>
      <c r="J29" s="27" t="inlineStr">
        <is>
          <t>assets/source/INC-PST-007_source.md</t>
        </is>
      </c>
      <c r="K29" s="27" t="inlineStr">
        <is>
          <t>data/inputs/sample_longform_case_study.md</t>
        </is>
      </c>
      <c r="L29" s="27" t="inlineStr">
        <is>
          <t>IncuBrix AI Engine (Gemini 2.5 Flash), Pillow, FFmpeg</t>
        </is>
      </c>
      <c r="M29" s="27" t="inlineStr">
        <is>
          <t>Yes</t>
        </is>
      </c>
      <c r="N29" s="27" t="inlineStr">
        <is>
          <t>Yes</t>
        </is>
      </c>
      <c r="O29" s="27" t="inlineStr">
        <is>
          <t>2026-11-26 10:00</t>
        </is>
      </c>
      <c r="P29" s="27" t="inlineStr">
        <is>
          <t>https://linkedin.com/incubrix/status/INC-PST-007</t>
        </is>
      </c>
      <c r="Q29" s="27" t="inlineStr">
        <is>
          <t>0</t>
        </is>
      </c>
      <c r="R29" s="27" t="inlineStr">
        <is>
          <t>0.0%</t>
        </is>
      </c>
      <c r="S29" s="27" t="inlineStr">
        <is>
          <t>0</t>
        </is>
      </c>
      <c r="T29" s="27" t="inlineStr">
        <is>
          <t>Ready</t>
        </is>
      </c>
      <c r="U29" s="27" t="inlineStr">
        <is>
          <t>Targeting B2B Leads &amp; Enterprise Sign-ups in Tier-1 geos. Claim verified: Verified agency collaboration workflows in /collab route.</t>
        </is>
      </c>
      <c r="V29" s="28">
        <f>IF(A29="","",IF(COUNTIF($A$5:$A$154,A29)&gt;1,"DUPLICATE","UNIQUE"))</f>
        <v/>
      </c>
      <c r="W29" s="28">
        <f>IF(A29="","",IF(T29="Rejected","REJECTED",IF(AND(B29&lt;&gt;"",C29&lt;&gt;"",D29&lt;&gt;"",E29&lt;&gt;"",F29&lt;&gt;"",G29&lt;&gt;"",H29&lt;&gt;"",I29&lt;&gt;"",J29&lt;&gt;"",M29&lt;&gt;"",O29&lt;&gt;"",T29&lt;&gt;""),"COMPLETE","MISSING FIELDS")))</f>
        <v/>
      </c>
    </row>
    <row r="30" ht="15" customHeight="1" s="15">
      <c r="A30" s="27" t="inlineStr">
        <is>
          <t>INC-PST-008</t>
        </is>
      </c>
      <c r="B30" s="27" t="inlineStr">
        <is>
          <t>Instagram</t>
        </is>
      </c>
      <c r="C30" s="27" t="inlineStr">
        <is>
          <t>Graphic</t>
        </is>
      </c>
      <c r="D30" s="27" t="inlineStr">
        <is>
          <t>AI Video &amp; Voice Engineering</t>
        </is>
      </c>
      <c r="E30" s="27" t="inlineStr">
        <is>
          <t>Voice cloning is no longer a gimmick. It is creator infrastructure.</t>
        </is>
      </c>
      <c r="F30" s="27" t="inlineStr">
        <is>
          <t>Record your voice sample once. IncuBrix Voice Hub turns your written ideas into natural spoken audio for podcasts, video voiceovers, and dynamic ads in seconds.</t>
        </is>
      </c>
      <c r="G30" s="27" t="inlineStr">
        <is>
          <t>Explore the Voice Hub at incubrix.com/voice-hub.</t>
        </is>
      </c>
      <c r="H30" s="27" t="inlineStr">
        <is>
          <t>https://incubrix.com/?utm_source=instagram&amp;utm_medium=graphic&amp;utm_campaign=growth_engine_q1&amp;utm_content=INC-PST-008&amp;utm_term=ai_video_and_voice_engineering</t>
        </is>
      </c>
      <c r="I30" s="27" t="inlineStr">
        <is>
          <t>assets/final/graphics/INC-PST-008.png</t>
        </is>
      </c>
      <c r="J30" s="27" t="inlineStr">
        <is>
          <t>assets/source/INC-PST-008_source.md</t>
        </is>
      </c>
      <c r="K30" s="27" t="inlineStr">
        <is>
          <t>data/inputs/sample_longform_case_study.md</t>
        </is>
      </c>
      <c r="L30" s="27" t="inlineStr">
        <is>
          <t>IncuBrix AI Engine (Gemini 2.5 Flash), Pillow, FFmpeg</t>
        </is>
      </c>
      <c r="M30" s="27" t="inlineStr">
        <is>
          <t>Yes</t>
        </is>
      </c>
      <c r="N30" s="27" t="inlineStr">
        <is>
          <t>Yes</t>
        </is>
      </c>
      <c r="O30" s="27" t="inlineStr">
        <is>
          <t>2026-11-27 10:00</t>
        </is>
      </c>
      <c r="P30" s="27" t="inlineStr">
        <is>
          <t>https://instagram.com/incubrix/status/INC-PST-008</t>
        </is>
      </c>
      <c r="Q30" s="27" t="inlineStr">
        <is>
          <t>0</t>
        </is>
      </c>
      <c r="R30" s="27" t="inlineStr">
        <is>
          <t>0.0%</t>
        </is>
      </c>
      <c r="S30" s="27" t="inlineStr">
        <is>
          <t>0</t>
        </is>
      </c>
      <c r="T30" s="27" t="inlineStr">
        <is>
          <t>Ready</t>
        </is>
      </c>
      <c r="U30" s="27" t="inlineStr">
        <is>
          <t>Targeting Saves &amp; Shares in Tier-1 geos. Claim verified: Tested /voice-hub and audio synthesis modules.</t>
        </is>
      </c>
      <c r="V30" s="28">
        <f>IF(A30="","",IF(COUNTIF($A$5:$A$154,A30)&gt;1,"DUPLICATE","UNIQUE"))</f>
        <v/>
      </c>
      <c r="W30" s="28">
        <f>IF(A30="","",IF(T30="Rejected","REJECTED",IF(AND(B30&lt;&gt;"",C30&lt;&gt;"",D30&lt;&gt;"",E30&lt;&gt;"",F30&lt;&gt;"",G30&lt;&gt;"",H30&lt;&gt;"",I30&lt;&gt;"",J30&lt;&gt;"",M30&lt;&gt;"",O30&lt;&gt;"",T30&lt;&gt;""),"COMPLETE","MISSING FIELDS")))</f>
        <v/>
      </c>
    </row>
    <row r="31" ht="15" customHeight="1" s="15">
      <c r="A31" s="27" t="inlineStr">
        <is>
          <t>INC-PST-009</t>
        </is>
      </c>
      <c r="B31" s="27" t="inlineStr">
        <is>
          <t>LinkedIn</t>
        </is>
      </c>
      <c r="C31" s="27" t="inlineStr">
        <is>
          <t>Graphic</t>
        </is>
      </c>
      <c r="D31" s="27" t="inlineStr">
        <is>
          <t>Repurposing Recipes</t>
        </is>
      </c>
      <c r="E31" s="27" t="inlineStr">
        <is>
          <t>The anatomy of a high-converting LinkedIn carousel.</t>
        </is>
      </c>
      <c r="F31" s="27" t="inlineStr">
        <is>
          <t>1. Slide 1: High-contrast problem statement (no fluff).
2. Slide 2: The costly traditional mistake.
3. Slide 3: The engineering breakdown.
4. Slide 4: The measured benchmark result.
5. Slide 5: The implementation checklist.
IncuBrix builds these slides automatically from any raw article or transcript.</t>
        </is>
      </c>
      <c r="G31" s="27" t="inlineStr">
        <is>
          <t>Generate your first carousel in 60s at incubrix.com.</t>
        </is>
      </c>
      <c r="H31" s="27" t="inlineStr">
        <is>
          <t>https://incubrix.com/?utm_source=linkedin&amp;utm_medium=graphic&amp;utm_campaign=growth_engine_q1&amp;utm_content=INC-PST-009&amp;utm_term=repurposing_recipes</t>
        </is>
      </c>
      <c r="I31" s="27" t="inlineStr">
        <is>
          <t>assets/final/graphics/INC-PST-009.png</t>
        </is>
      </c>
      <c r="J31" s="27" t="inlineStr">
        <is>
          <t>assets/source/INC-PST-009_source.md</t>
        </is>
      </c>
      <c r="K31" s="27" t="inlineStr">
        <is>
          <t>data/inputs/sample_longform_case_study.md</t>
        </is>
      </c>
      <c r="L31" s="27" t="inlineStr">
        <is>
          <t>IncuBrix AI Engine (Gemini 2.5 Flash), Pillow, FFmpeg</t>
        </is>
      </c>
      <c r="M31" s="27" t="inlineStr">
        <is>
          <t>Yes</t>
        </is>
      </c>
      <c r="N31" s="27" t="inlineStr">
        <is>
          <t>Yes</t>
        </is>
      </c>
      <c r="O31" s="27" t="inlineStr">
        <is>
          <t>2026-11-28 10:00</t>
        </is>
      </c>
      <c r="P31" s="27" t="inlineStr">
        <is>
          <t>https://linkedin.com/incubrix/status/INC-PST-009</t>
        </is>
      </c>
      <c r="Q31" s="27" t="inlineStr">
        <is>
          <t>0</t>
        </is>
      </c>
      <c r="R31" s="27" t="inlineStr">
        <is>
          <t>0.0%</t>
        </is>
      </c>
      <c r="S31" s="27" t="inlineStr">
        <is>
          <t>0</t>
        </is>
      </c>
      <c r="T31" s="27" t="inlineStr">
        <is>
          <t>Ready</t>
        </is>
      </c>
      <c r="U31" s="27" t="inlineStr">
        <is>
          <t>Targeting Saves &amp; Engagement Rate in Tier-1 geos. Claim verified: Carousel template engine in media_renderer.py.</t>
        </is>
      </c>
      <c r="V31" s="28">
        <f>IF(A31="","",IF(COUNTIF($A$5:$A$154,A31)&gt;1,"DUPLICATE","UNIQUE"))</f>
        <v/>
      </c>
      <c r="W31" s="28">
        <f>IF(A31="","",IF(T31="Rejected","REJECTED",IF(AND(B31&lt;&gt;"",C31&lt;&gt;"",D31&lt;&gt;"",E31&lt;&gt;"",F31&lt;&gt;"",G31&lt;&gt;"",H31&lt;&gt;"",I31&lt;&gt;"",J31&lt;&gt;"",M31&lt;&gt;"",O31&lt;&gt;"",T31&lt;&gt;""),"COMPLETE","MISSING FIELDS")))</f>
        <v/>
      </c>
    </row>
    <row r="32" ht="15" customHeight="1" s="15">
      <c r="A32" s="27" t="inlineStr">
        <is>
          <t>INC-PST-010</t>
        </is>
      </c>
      <c r="B32" s="27" t="inlineStr">
        <is>
          <t>Instagram</t>
        </is>
      </c>
      <c r="C32" s="27" t="inlineStr">
        <is>
          <t>Graphic</t>
        </is>
      </c>
      <c r="D32" s="27" t="inlineStr">
        <is>
          <t>Growth Analytics &amp; Algorithm Benchmarks</t>
        </is>
      </c>
      <c r="E32" s="27" t="inlineStr">
        <is>
          <t>Why short video captions matter more than video resolution.</t>
        </is>
      </c>
      <c r="F32" s="27" t="inlineStr">
        <is>
          <t>Over 78% of users watch short-form mobile video with audio muted. If your captions aren't dynamic, animated, and paced with spoken word, your retention plummets in the first 2 seconds.
IncuBrix burns dynamic captions automatically into every exported short.</t>
        </is>
      </c>
      <c r="G32" s="27" t="inlineStr">
        <is>
          <t>Auto-caption your clips at app.incubrix.com.</t>
        </is>
      </c>
      <c r="H32" s="27" t="inlineStr">
        <is>
          <t>https://incubrix.com/?utm_source=instagram&amp;utm_medium=graphic&amp;utm_campaign=growth_engine_q1&amp;utm_content=INC-PST-010&amp;utm_term=growth_analytics_and_algorithm_benchmarks</t>
        </is>
      </c>
      <c r="I32" s="27" t="inlineStr">
        <is>
          <t>assets/final/graphics/INC-PST-010.png</t>
        </is>
      </c>
      <c r="J32" s="27" t="inlineStr">
        <is>
          <t>assets/source/INC-PST-010_source.md</t>
        </is>
      </c>
      <c r="K32" s="27" t="inlineStr">
        <is>
          <t>data/inputs/sample_longform_case_study.md</t>
        </is>
      </c>
      <c r="L32" s="27" t="inlineStr">
        <is>
          <t>IncuBrix AI Engine (Gemini 2.5 Flash), Pillow, FFmpeg</t>
        </is>
      </c>
      <c r="M32" s="27" t="inlineStr">
        <is>
          <t>Yes</t>
        </is>
      </c>
      <c r="N32" s="27" t="inlineStr">
        <is>
          <t>Yes</t>
        </is>
      </c>
      <c r="O32" s="27" t="inlineStr">
        <is>
          <t>2026-11-01 10:00</t>
        </is>
      </c>
      <c r="P32" s="27" t="inlineStr">
        <is>
          <t>https://instagram.com/incubrix/status/INC-PST-010</t>
        </is>
      </c>
      <c r="Q32" s="27" t="inlineStr">
        <is>
          <t>0</t>
        </is>
      </c>
      <c r="R32" s="27" t="inlineStr">
        <is>
          <t>0.0%</t>
        </is>
      </c>
      <c r="S32" s="27" t="inlineStr">
        <is>
          <t>0</t>
        </is>
      </c>
      <c r="T32" s="27" t="inlineStr">
        <is>
          <t>Ready</t>
        </is>
      </c>
      <c r="U32" s="27" t="inlineStr">
        <is>
          <t>Targeting Engagement &amp; Retention in Tier-1 geos. Claim verified: IncuBrix dynamic captioning and video assembly pipeline.</t>
        </is>
      </c>
      <c r="V32" s="28">
        <f>IF(A32="","",IF(COUNTIF($A$5:$A$154,A32)&gt;1,"DUPLICATE","UNIQUE"))</f>
        <v/>
      </c>
      <c r="W32" s="28">
        <f>IF(A32="","",IF(T32="Rejected","REJECTED",IF(AND(B32&lt;&gt;"",C32&lt;&gt;"",D32&lt;&gt;"",E32&lt;&gt;"",F32&lt;&gt;"",G32&lt;&gt;"",H32&lt;&gt;"",I32&lt;&gt;"",J32&lt;&gt;"",M32&lt;&gt;"",O32&lt;&gt;"",T32&lt;&gt;""),"COMPLETE","MISSING FIELDS")))</f>
        <v/>
      </c>
    </row>
    <row r="33" ht="15" customHeight="1" s="15">
      <c r="A33" s="27" t="inlineStr">
        <is>
          <t>INC-PST-011</t>
        </is>
      </c>
      <c r="B33" s="27" t="inlineStr">
        <is>
          <t>LinkedIn</t>
        </is>
      </c>
      <c r="C33" s="27" t="inlineStr">
        <is>
          <t>Graphic</t>
        </is>
      </c>
      <c r="D33" s="27" t="inlineStr">
        <is>
          <t>CreatorOps &amp; Tool Consolidation</t>
        </is>
      </c>
      <c r="E33" s="27" t="inlineStr">
        <is>
          <t>How much does context-switching actually cost your creative output?</t>
        </is>
      </c>
      <c r="F33" s="27" t="inlineStr">
        <is>
          <t>Research shows it takes 23 minutes to regain deep focus after an interruption or software context switch. Switching between Premiere, Opus Clip, Buffer, and ChatGPT 6 times a day drains your creative energy.
Unify your focus with IncuBrix.</t>
        </is>
      </c>
      <c r="G33" s="27" t="inlineStr">
        <is>
          <t>Experience unified CreatorOps at incubrix.com.</t>
        </is>
      </c>
      <c r="H33" s="27" t="inlineStr">
        <is>
          <t>https://incubrix.com/?utm_source=linkedin&amp;utm_medium=graphic&amp;utm_campaign=growth_engine_q1&amp;utm_content=INC-PST-011&amp;utm_term=creatorops_and_tool_consolidation</t>
        </is>
      </c>
      <c r="I33" s="27" t="inlineStr">
        <is>
          <t>assets/final/graphics/INC-PST-011.png</t>
        </is>
      </c>
      <c r="J33" s="27" t="inlineStr">
        <is>
          <t>assets/source/INC-PST-011_source.md</t>
        </is>
      </c>
      <c r="K33" s="27" t="inlineStr">
        <is>
          <t>data/inputs/sample_longform_case_study.md</t>
        </is>
      </c>
      <c r="L33" s="27" t="inlineStr">
        <is>
          <t>IncuBrix AI Engine (Gemini 2.5 Flash), Pillow, FFmpeg</t>
        </is>
      </c>
      <c r="M33" s="27" t="inlineStr">
        <is>
          <t>Yes</t>
        </is>
      </c>
      <c r="N33" s="27" t="inlineStr">
        <is>
          <t>Yes</t>
        </is>
      </c>
      <c r="O33" s="27" t="inlineStr">
        <is>
          <t>2026-11-02 10:00</t>
        </is>
      </c>
      <c r="P33" s="27" t="inlineStr">
        <is>
          <t>https://linkedin.com/incubrix/status/INC-PST-011</t>
        </is>
      </c>
      <c r="Q33" s="27" t="inlineStr">
        <is>
          <t>0</t>
        </is>
      </c>
      <c r="R33" s="27" t="inlineStr">
        <is>
          <t>0.0%</t>
        </is>
      </c>
      <c r="S33" s="27" t="inlineStr">
        <is>
          <t>0</t>
        </is>
      </c>
      <c r="T33" s="27" t="inlineStr">
        <is>
          <t>Ready</t>
        </is>
      </c>
      <c r="U33" s="27" t="inlineStr">
        <is>
          <t>Targeting Reactions &amp; Bookmarks in Tier-1 geos. Claim verified: Context switching study cited in CreatorOps architecture.</t>
        </is>
      </c>
      <c r="V33" s="28">
        <f>IF(A33="","",IF(COUNTIF($A$5:$A$154,A33)&gt;1,"DUPLICATE","UNIQUE"))</f>
        <v/>
      </c>
      <c r="W33" s="28">
        <f>IF(A33="","",IF(T33="Rejected","REJECTED",IF(AND(B33&lt;&gt;"",C33&lt;&gt;"",D33&lt;&gt;"",E33&lt;&gt;"",F33&lt;&gt;"",G33&lt;&gt;"",H33&lt;&gt;"",I33&lt;&gt;"",J33&lt;&gt;"",M33&lt;&gt;"",O33&lt;&gt;"",T33&lt;&gt;""),"COMPLETE","MISSING FIELDS")))</f>
        <v/>
      </c>
    </row>
    <row r="34" ht="15" customHeight="1" s="15">
      <c r="A34" s="27" t="inlineStr">
        <is>
          <t>INC-PST-012</t>
        </is>
      </c>
      <c r="B34" s="27" t="inlineStr">
        <is>
          <t>Instagram</t>
        </is>
      </c>
      <c r="C34" s="27" t="inlineStr">
        <is>
          <t>Graphic</t>
        </is>
      </c>
      <c r="D34" s="27" t="inlineStr">
        <is>
          <t>Behind-the-Studio &amp; Product Spotlights</t>
        </is>
      </c>
      <c r="E34" s="27" t="inlineStr">
        <is>
          <t>The future of content creation is automated, modular, and scalable.</t>
        </is>
      </c>
      <c r="F34" s="27" t="inlineStr">
        <is>
          <t>You don't need a 10-person video team to compete in 2026. You just need an intelligent CreatorOps engine that extracts maximum reach from every piece of insight you create.
IncuBrix: Create With Purpose. Publish Without Limits.</t>
        </is>
      </c>
      <c r="G34" s="27" t="inlineStr">
        <is>
          <t>Start your journey at incubrix.com.</t>
        </is>
      </c>
      <c r="H34" s="27" t="inlineStr">
        <is>
          <t>https://incubrix.com/?utm_source=instagram&amp;utm_medium=graphic&amp;utm_campaign=growth_engine_q1&amp;utm_content=INC-PST-012&amp;utm_term=behind-the-studio_and_product_spotlights</t>
        </is>
      </c>
      <c r="I34" s="27" t="inlineStr">
        <is>
          <t>assets/final/graphics/INC-PST-012.png</t>
        </is>
      </c>
      <c r="J34" s="27" t="inlineStr">
        <is>
          <t>assets/source/INC-PST-012_source.md</t>
        </is>
      </c>
      <c r="K34" s="27" t="inlineStr">
        <is>
          <t>data/inputs/sample_longform_case_study.md</t>
        </is>
      </c>
      <c r="L34" s="27" t="inlineStr">
        <is>
          <t>IncuBrix AI Engine (Gemini 2.5 Flash), Pillow, FFmpeg</t>
        </is>
      </c>
      <c r="M34" s="27" t="inlineStr">
        <is>
          <t>Yes</t>
        </is>
      </c>
      <c r="N34" s="27" t="inlineStr">
        <is>
          <t>Yes</t>
        </is>
      </c>
      <c r="O34" s="27" t="inlineStr">
        <is>
          <t>2026-11-03 10:00</t>
        </is>
      </c>
      <c r="P34" s="27" t="inlineStr">
        <is>
          <t>https://instagram.com/incubrix/status/INC-PST-012</t>
        </is>
      </c>
      <c r="Q34" s="27" t="inlineStr">
        <is>
          <t>0</t>
        </is>
      </c>
      <c r="R34" s="27" t="inlineStr">
        <is>
          <t>0.0%</t>
        </is>
      </c>
      <c r="S34" s="27" t="inlineStr">
        <is>
          <t>0</t>
        </is>
      </c>
      <c r="T34" s="27" t="inlineStr">
        <is>
          <t>Ready</t>
        </is>
      </c>
      <c r="U34" s="27" t="inlineStr">
        <is>
          <t>Targeting Profile Visits &amp; Sign-ups in Tier-1 geos. Claim verified: IncuBrix mission statement and core value proposition.</t>
        </is>
      </c>
      <c r="V34" s="28">
        <f>IF(A34="","",IF(COUNTIF($A$5:$A$154,A34)&gt;1,"DUPLICATE","UNIQUE"))</f>
        <v/>
      </c>
      <c r="W34" s="28">
        <f>IF(A34="","",IF(T34="Rejected","REJECTED",IF(AND(B34&lt;&gt;"",C34&lt;&gt;"",D34&lt;&gt;"",E34&lt;&gt;"",F34&lt;&gt;"",G34&lt;&gt;"",H34&lt;&gt;"",I34&lt;&gt;"",J34&lt;&gt;"",M34&lt;&gt;"",O34&lt;&gt;"",T34&lt;&gt;""),"COMPLETE","MISSING FIELDS")))</f>
        <v/>
      </c>
    </row>
    <row r="35" ht="15" customHeight="1" s="15">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8">
        <f>IF(A35="","",IF(COUNTIF($A$5:$A$154,A35)&gt;1,"DUPLICATE","UNIQUE"))</f>
        <v/>
      </c>
      <c r="W35" s="28">
        <f>IF(A35="","",IF(T35="Rejected","REJECTED",IF(AND(B35&lt;&gt;"",C35&lt;&gt;"",D35&lt;&gt;"",E35&lt;&gt;"",F35&lt;&gt;"",G35&lt;&gt;"",H35&lt;&gt;"",I35&lt;&gt;"",J35&lt;&gt;"",M35&lt;&gt;"",O35&lt;&gt;"",T35&lt;&gt;""),"COMPLETE","MISSING FIELDS")))</f>
        <v/>
      </c>
    </row>
    <row r="36" ht="15" customHeight="1" s="15">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8">
        <f>IF(A36="","",IF(COUNTIF($A$5:$A$154,A36)&gt;1,"DUPLICATE","UNIQUE"))</f>
        <v/>
      </c>
      <c r="W36" s="28">
        <f>IF(A36="","",IF(T36="Rejected","REJECTED",IF(AND(B36&lt;&gt;"",C36&lt;&gt;"",D36&lt;&gt;"",E36&lt;&gt;"",F36&lt;&gt;"",G36&lt;&gt;"",H36&lt;&gt;"",I36&lt;&gt;"",J36&lt;&gt;"",M36&lt;&gt;"",O36&lt;&gt;"",T36&lt;&gt;""),"COMPLETE","MISSING FIELDS")))</f>
        <v/>
      </c>
    </row>
    <row r="37" ht="15" customHeight="1" s="15">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8">
        <f>IF(A37="","",IF(COUNTIF($A$5:$A$154,A37)&gt;1,"DUPLICATE","UNIQUE"))</f>
        <v/>
      </c>
      <c r="W37" s="28">
        <f>IF(A37="","",IF(T37="Rejected","REJECTED",IF(AND(B37&lt;&gt;"",C37&lt;&gt;"",D37&lt;&gt;"",E37&lt;&gt;"",F37&lt;&gt;"",G37&lt;&gt;"",H37&lt;&gt;"",I37&lt;&gt;"",J37&lt;&gt;"",M37&lt;&gt;"",O37&lt;&gt;"",T37&lt;&gt;""),"COMPLETE","MISSING FIELDS")))</f>
        <v/>
      </c>
    </row>
    <row r="38" ht="15" customHeight="1" s="15">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8">
        <f>IF(A38="","",IF(COUNTIF($A$5:$A$154,A38)&gt;1,"DUPLICATE","UNIQUE"))</f>
        <v/>
      </c>
      <c r="W38" s="28">
        <f>IF(A38="","",IF(T38="Rejected","REJECTED",IF(AND(B38&lt;&gt;"",C38&lt;&gt;"",D38&lt;&gt;"",E38&lt;&gt;"",F38&lt;&gt;"",G38&lt;&gt;"",H38&lt;&gt;"",I38&lt;&gt;"",J38&lt;&gt;"",M38&lt;&gt;"",O38&lt;&gt;"",T38&lt;&gt;""),"COMPLETE","MISSING FIELDS")))</f>
        <v/>
      </c>
    </row>
    <row r="39" ht="15" customHeight="1" s="15">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8">
        <f>IF(A39="","",IF(COUNTIF($A$5:$A$154,A39)&gt;1,"DUPLICATE","UNIQUE"))</f>
        <v/>
      </c>
      <c r="W39" s="28">
        <f>IF(A39="","",IF(T39="Rejected","REJECTED",IF(AND(B39&lt;&gt;"",C39&lt;&gt;"",D39&lt;&gt;"",E39&lt;&gt;"",F39&lt;&gt;"",G39&lt;&gt;"",H39&lt;&gt;"",I39&lt;&gt;"",J39&lt;&gt;"",M39&lt;&gt;"",O39&lt;&gt;"",T39&lt;&gt;""),"COMPLETE","MISSING FIELDS")))</f>
        <v/>
      </c>
    </row>
    <row r="40" ht="15" customHeight="1" s="15">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8">
        <f>IF(A40="","",IF(COUNTIF($A$5:$A$154,A40)&gt;1,"DUPLICATE","UNIQUE"))</f>
        <v/>
      </c>
      <c r="W40" s="28">
        <f>IF(A40="","",IF(T40="Rejected","REJECTED",IF(AND(B40&lt;&gt;"",C40&lt;&gt;"",D40&lt;&gt;"",E40&lt;&gt;"",F40&lt;&gt;"",G40&lt;&gt;"",H40&lt;&gt;"",I40&lt;&gt;"",J40&lt;&gt;"",M40&lt;&gt;"",O40&lt;&gt;"",T40&lt;&gt;""),"COMPLETE","MISSING FIELDS")))</f>
        <v/>
      </c>
    </row>
    <row r="41" ht="15" customHeight="1" s="15">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8">
        <f>IF(A41="","",IF(COUNTIF($A$5:$A$154,A41)&gt;1,"DUPLICATE","UNIQUE"))</f>
        <v/>
      </c>
      <c r="W41" s="28">
        <f>IF(A41="","",IF(T41="Rejected","REJECTED",IF(AND(B41&lt;&gt;"",C41&lt;&gt;"",D41&lt;&gt;"",E41&lt;&gt;"",F41&lt;&gt;"",G41&lt;&gt;"",H41&lt;&gt;"",I41&lt;&gt;"",J41&lt;&gt;"",M41&lt;&gt;"",O41&lt;&gt;"",T41&lt;&gt;""),"COMPLETE","MISSING FIELDS")))</f>
        <v/>
      </c>
    </row>
    <row r="42" ht="15" customHeight="1" s="15">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8">
        <f>IF(A42="","",IF(COUNTIF($A$5:$A$154,A42)&gt;1,"DUPLICATE","UNIQUE"))</f>
        <v/>
      </c>
      <c r="W42" s="28">
        <f>IF(A42="","",IF(T42="Rejected","REJECTED",IF(AND(B42&lt;&gt;"",C42&lt;&gt;"",D42&lt;&gt;"",E42&lt;&gt;"",F42&lt;&gt;"",G42&lt;&gt;"",H42&lt;&gt;"",I42&lt;&gt;"",J42&lt;&gt;"",M42&lt;&gt;"",O42&lt;&gt;"",T42&lt;&gt;""),"COMPLETE","MISSING FIELDS")))</f>
        <v/>
      </c>
    </row>
    <row r="43" ht="15" customHeight="1" s="15">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8">
        <f>IF(A43="","",IF(COUNTIF($A$5:$A$154,A43)&gt;1,"DUPLICATE","UNIQUE"))</f>
        <v/>
      </c>
      <c r="W43" s="28">
        <f>IF(A43="","",IF(T43="Rejected","REJECTED",IF(AND(B43&lt;&gt;"",C43&lt;&gt;"",D43&lt;&gt;"",E43&lt;&gt;"",F43&lt;&gt;"",G43&lt;&gt;"",H43&lt;&gt;"",I43&lt;&gt;"",J43&lt;&gt;"",M43&lt;&gt;"",O43&lt;&gt;"",T43&lt;&gt;""),"COMPLETE","MISSING FIELDS")))</f>
        <v/>
      </c>
    </row>
    <row r="44" ht="15" customHeight="1" s="15">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8">
        <f>IF(A44="","",IF(COUNTIF($A$5:$A$154,A44)&gt;1,"DUPLICATE","UNIQUE"))</f>
        <v/>
      </c>
      <c r="W44" s="28">
        <f>IF(A44="","",IF(T44="Rejected","REJECTED",IF(AND(B44&lt;&gt;"",C44&lt;&gt;"",D44&lt;&gt;"",E44&lt;&gt;"",F44&lt;&gt;"",G44&lt;&gt;"",H44&lt;&gt;"",I44&lt;&gt;"",J44&lt;&gt;"",M44&lt;&gt;"",O44&lt;&gt;"",T44&lt;&gt;""),"COMPLETE","MISSING FIELDS")))</f>
        <v/>
      </c>
    </row>
    <row r="45" ht="15" customHeight="1" s="15">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8">
        <f>IF(A45="","",IF(COUNTIF($A$5:$A$154,A45)&gt;1,"DUPLICATE","UNIQUE"))</f>
        <v/>
      </c>
      <c r="W45" s="28">
        <f>IF(A45="","",IF(T45="Rejected","REJECTED",IF(AND(B45&lt;&gt;"",C45&lt;&gt;"",D45&lt;&gt;"",E45&lt;&gt;"",F45&lt;&gt;"",G45&lt;&gt;"",H45&lt;&gt;"",I45&lt;&gt;"",J45&lt;&gt;"",M45&lt;&gt;"",O45&lt;&gt;"",T45&lt;&gt;""),"COMPLETE","MISSING FIELDS")))</f>
        <v/>
      </c>
    </row>
    <row r="46" ht="15" customHeight="1" s="15">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8">
        <f>IF(A46="","",IF(COUNTIF($A$5:$A$154,A46)&gt;1,"DUPLICATE","UNIQUE"))</f>
        <v/>
      </c>
      <c r="W46" s="28">
        <f>IF(A46="","",IF(T46="Rejected","REJECTED",IF(AND(B46&lt;&gt;"",C46&lt;&gt;"",D46&lt;&gt;"",E46&lt;&gt;"",F46&lt;&gt;"",G46&lt;&gt;"",H46&lt;&gt;"",I46&lt;&gt;"",J46&lt;&gt;"",M46&lt;&gt;"",O46&lt;&gt;"",T46&lt;&gt;""),"COMPLETE","MISSING FIELDS")))</f>
        <v/>
      </c>
    </row>
    <row r="47" ht="15" customHeight="1" s="15">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8">
        <f>IF(A47="","",IF(COUNTIF($A$5:$A$154,A47)&gt;1,"DUPLICATE","UNIQUE"))</f>
        <v/>
      </c>
      <c r="W47" s="28">
        <f>IF(A47="","",IF(T47="Rejected","REJECTED",IF(AND(B47&lt;&gt;"",C47&lt;&gt;"",D47&lt;&gt;"",E47&lt;&gt;"",F47&lt;&gt;"",G47&lt;&gt;"",H47&lt;&gt;"",I47&lt;&gt;"",J47&lt;&gt;"",M47&lt;&gt;"",O47&lt;&gt;"",T47&lt;&gt;""),"COMPLETE","MISSING FIELDS")))</f>
        <v/>
      </c>
    </row>
    <row r="48" ht="15" customHeight="1" s="15">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8">
        <f>IF(A48="","",IF(COUNTIF($A$5:$A$154,A48)&gt;1,"DUPLICATE","UNIQUE"))</f>
        <v/>
      </c>
      <c r="W48" s="28">
        <f>IF(A48="","",IF(T48="Rejected","REJECTED",IF(AND(B48&lt;&gt;"",C48&lt;&gt;"",D48&lt;&gt;"",E48&lt;&gt;"",F48&lt;&gt;"",G48&lt;&gt;"",H48&lt;&gt;"",I48&lt;&gt;"",J48&lt;&gt;"",M48&lt;&gt;"",O48&lt;&gt;"",T48&lt;&gt;""),"COMPLETE","MISSING FIELDS")))</f>
        <v/>
      </c>
    </row>
    <row r="49" ht="15" customHeight="1" s="15">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8">
        <f>IF(A49="","",IF(COUNTIF($A$5:$A$154,A49)&gt;1,"DUPLICATE","UNIQUE"))</f>
        <v/>
      </c>
      <c r="W49" s="28">
        <f>IF(A49="","",IF(T49="Rejected","REJECTED",IF(AND(B49&lt;&gt;"",C49&lt;&gt;"",D49&lt;&gt;"",E49&lt;&gt;"",F49&lt;&gt;"",G49&lt;&gt;"",H49&lt;&gt;"",I49&lt;&gt;"",J49&lt;&gt;"",M49&lt;&gt;"",O49&lt;&gt;"",T49&lt;&gt;""),"COMPLETE","MISSING FIELDS")))</f>
        <v/>
      </c>
    </row>
    <row r="50" ht="15" customHeight="1" s="15">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8">
        <f>IF(A50="","",IF(COUNTIF($A$5:$A$154,A50)&gt;1,"DUPLICATE","UNIQUE"))</f>
        <v/>
      </c>
      <c r="W50" s="28">
        <f>IF(A50="","",IF(T50="Rejected","REJECTED",IF(AND(B50&lt;&gt;"",C50&lt;&gt;"",D50&lt;&gt;"",E50&lt;&gt;"",F50&lt;&gt;"",G50&lt;&gt;"",H50&lt;&gt;"",I50&lt;&gt;"",J50&lt;&gt;"",M50&lt;&gt;"",O50&lt;&gt;"",T50&lt;&gt;""),"COMPLETE","MISSING FIELDS")))</f>
        <v/>
      </c>
    </row>
    <row r="51" ht="15" customHeight="1" s="15">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8">
        <f>IF(A51="","",IF(COUNTIF($A$5:$A$154,A51)&gt;1,"DUPLICATE","UNIQUE"))</f>
        <v/>
      </c>
      <c r="W51" s="28">
        <f>IF(A51="","",IF(T51="Rejected","REJECTED",IF(AND(B51&lt;&gt;"",C51&lt;&gt;"",D51&lt;&gt;"",E51&lt;&gt;"",F51&lt;&gt;"",G51&lt;&gt;"",H51&lt;&gt;"",I51&lt;&gt;"",J51&lt;&gt;"",M51&lt;&gt;"",O51&lt;&gt;"",T51&lt;&gt;""),"COMPLETE","MISSING FIELDS")))</f>
        <v/>
      </c>
    </row>
    <row r="52" ht="15" customHeight="1" s="15">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8">
        <f>IF(A52="","",IF(COUNTIF($A$5:$A$154,A52)&gt;1,"DUPLICATE","UNIQUE"))</f>
        <v/>
      </c>
      <c r="W52" s="28">
        <f>IF(A52="","",IF(T52="Rejected","REJECTED",IF(AND(B52&lt;&gt;"",C52&lt;&gt;"",D52&lt;&gt;"",E52&lt;&gt;"",F52&lt;&gt;"",G52&lt;&gt;"",H52&lt;&gt;"",I52&lt;&gt;"",J52&lt;&gt;"",M52&lt;&gt;"",O52&lt;&gt;"",T52&lt;&gt;""),"COMPLETE","MISSING FIELDS")))</f>
        <v/>
      </c>
    </row>
    <row r="53" ht="15" customHeight="1" s="15">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8">
        <f>IF(A53="","",IF(COUNTIF($A$5:$A$154,A53)&gt;1,"DUPLICATE","UNIQUE"))</f>
        <v/>
      </c>
      <c r="W53" s="28">
        <f>IF(A53="","",IF(T53="Rejected","REJECTED",IF(AND(B53&lt;&gt;"",C53&lt;&gt;"",D53&lt;&gt;"",E53&lt;&gt;"",F53&lt;&gt;"",G53&lt;&gt;"",H53&lt;&gt;"",I53&lt;&gt;"",J53&lt;&gt;"",M53&lt;&gt;"",O53&lt;&gt;"",T53&lt;&gt;""),"COMPLETE","MISSING FIELDS")))</f>
        <v/>
      </c>
    </row>
    <row r="54" ht="15" customHeight="1" s="15">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8">
        <f>IF(A54="","",IF(COUNTIF($A$5:$A$154,A54)&gt;1,"DUPLICATE","UNIQUE"))</f>
        <v/>
      </c>
      <c r="W54" s="28">
        <f>IF(A54="","",IF(T54="Rejected","REJECTED",IF(AND(B54&lt;&gt;"",C54&lt;&gt;"",D54&lt;&gt;"",E54&lt;&gt;"",F54&lt;&gt;"",G54&lt;&gt;"",H54&lt;&gt;"",I54&lt;&gt;"",J54&lt;&gt;"",M54&lt;&gt;"",O54&lt;&gt;"",T54&lt;&gt;""),"COMPLETE","MISSING FIELDS")))</f>
        <v/>
      </c>
    </row>
    <row r="55" ht="15" customHeight="1" s="15">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8">
        <f>IF(A55="","",IF(COUNTIF($A$5:$A$154,A55)&gt;1,"DUPLICATE","UNIQUE"))</f>
        <v/>
      </c>
      <c r="W55" s="28">
        <f>IF(A55="","",IF(T55="Rejected","REJECTED",IF(AND(B55&lt;&gt;"",C55&lt;&gt;"",D55&lt;&gt;"",E55&lt;&gt;"",F55&lt;&gt;"",G55&lt;&gt;"",H55&lt;&gt;"",I55&lt;&gt;"",J55&lt;&gt;"",M55&lt;&gt;"",O55&lt;&gt;"",T55&lt;&gt;""),"COMPLETE","MISSING FIELDS")))</f>
        <v/>
      </c>
    </row>
    <row r="56" ht="15" customHeight="1" s="15">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8">
        <f>IF(A56="","",IF(COUNTIF($A$5:$A$154,A56)&gt;1,"DUPLICATE","UNIQUE"))</f>
        <v/>
      </c>
      <c r="W56" s="28">
        <f>IF(A56="","",IF(T56="Rejected","REJECTED",IF(AND(B56&lt;&gt;"",C56&lt;&gt;"",D56&lt;&gt;"",E56&lt;&gt;"",F56&lt;&gt;"",G56&lt;&gt;"",H56&lt;&gt;"",I56&lt;&gt;"",J56&lt;&gt;"",M56&lt;&gt;"",O56&lt;&gt;"",T56&lt;&gt;""),"COMPLETE","MISSING FIELDS")))</f>
        <v/>
      </c>
    </row>
    <row r="57" ht="15" customHeight="1" s="15">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8">
        <f>IF(A57="","",IF(COUNTIF($A$5:$A$154,A57)&gt;1,"DUPLICATE","UNIQUE"))</f>
        <v/>
      </c>
      <c r="W57" s="28">
        <f>IF(A57="","",IF(T57="Rejected","REJECTED",IF(AND(B57&lt;&gt;"",C57&lt;&gt;"",D57&lt;&gt;"",E57&lt;&gt;"",F57&lt;&gt;"",G57&lt;&gt;"",H57&lt;&gt;"",I57&lt;&gt;"",J57&lt;&gt;"",M57&lt;&gt;"",O57&lt;&gt;"",T57&lt;&gt;""),"COMPLETE","MISSING FIELDS")))</f>
        <v/>
      </c>
    </row>
    <row r="58" ht="15" customHeight="1" s="15">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8">
        <f>IF(A58="","",IF(COUNTIF($A$5:$A$154,A58)&gt;1,"DUPLICATE","UNIQUE"))</f>
        <v/>
      </c>
      <c r="W58" s="28">
        <f>IF(A58="","",IF(T58="Rejected","REJECTED",IF(AND(B58&lt;&gt;"",C58&lt;&gt;"",D58&lt;&gt;"",E58&lt;&gt;"",F58&lt;&gt;"",G58&lt;&gt;"",H58&lt;&gt;"",I58&lt;&gt;"",J58&lt;&gt;"",M58&lt;&gt;"",O58&lt;&gt;"",T58&lt;&gt;""),"COMPLETE","MISSING FIELDS")))</f>
        <v/>
      </c>
    </row>
    <row r="59" ht="15" customHeight="1" s="15">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8">
        <f>IF(A59="","",IF(COUNTIF($A$5:$A$154,A59)&gt;1,"DUPLICATE","UNIQUE"))</f>
        <v/>
      </c>
      <c r="W59" s="28">
        <f>IF(A59="","",IF(T59="Rejected","REJECTED",IF(AND(B59&lt;&gt;"",C59&lt;&gt;"",D59&lt;&gt;"",E59&lt;&gt;"",F59&lt;&gt;"",G59&lt;&gt;"",H59&lt;&gt;"",I59&lt;&gt;"",J59&lt;&gt;"",M59&lt;&gt;"",O59&lt;&gt;"",T59&lt;&gt;""),"COMPLETE","MISSING FIELDS")))</f>
        <v/>
      </c>
    </row>
    <row r="60" ht="15" customHeight="1" s="15">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8">
        <f>IF(A60="","",IF(COUNTIF($A$5:$A$154,A60)&gt;1,"DUPLICATE","UNIQUE"))</f>
        <v/>
      </c>
      <c r="W60" s="28">
        <f>IF(A60="","",IF(T60="Rejected","REJECTED",IF(AND(B60&lt;&gt;"",C60&lt;&gt;"",D60&lt;&gt;"",E60&lt;&gt;"",F60&lt;&gt;"",G60&lt;&gt;"",H60&lt;&gt;"",I60&lt;&gt;"",J60&lt;&gt;"",M60&lt;&gt;"",O60&lt;&gt;"",T60&lt;&gt;""),"COMPLETE","MISSING FIELDS")))</f>
        <v/>
      </c>
    </row>
    <row r="61" ht="15" customHeight="1" s="15">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8">
        <f>IF(A61="","",IF(COUNTIF($A$5:$A$154,A61)&gt;1,"DUPLICATE","UNIQUE"))</f>
        <v/>
      </c>
      <c r="W61" s="28">
        <f>IF(A61="","",IF(T61="Rejected","REJECTED",IF(AND(B61&lt;&gt;"",C61&lt;&gt;"",D61&lt;&gt;"",E61&lt;&gt;"",F61&lt;&gt;"",G61&lt;&gt;"",H61&lt;&gt;"",I61&lt;&gt;"",J61&lt;&gt;"",M61&lt;&gt;"",O61&lt;&gt;"",T61&lt;&gt;""),"COMPLETE","MISSING FIELDS")))</f>
        <v/>
      </c>
    </row>
    <row r="62" ht="15" customHeight="1" s="15">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8">
        <f>IF(A62="","",IF(COUNTIF($A$5:$A$154,A62)&gt;1,"DUPLICATE","UNIQUE"))</f>
        <v/>
      </c>
      <c r="W62" s="28">
        <f>IF(A62="","",IF(T62="Rejected","REJECTED",IF(AND(B62&lt;&gt;"",C62&lt;&gt;"",D62&lt;&gt;"",E62&lt;&gt;"",F62&lt;&gt;"",G62&lt;&gt;"",H62&lt;&gt;"",I62&lt;&gt;"",J62&lt;&gt;"",M62&lt;&gt;"",O62&lt;&gt;"",T62&lt;&gt;""),"COMPLETE","MISSING FIELDS")))</f>
        <v/>
      </c>
    </row>
    <row r="63" ht="15" customHeight="1" s="15">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8">
        <f>IF(A63="","",IF(COUNTIF($A$5:$A$154,A63)&gt;1,"DUPLICATE","UNIQUE"))</f>
        <v/>
      </c>
      <c r="W63" s="28">
        <f>IF(A63="","",IF(T63="Rejected","REJECTED",IF(AND(B63&lt;&gt;"",C63&lt;&gt;"",D63&lt;&gt;"",E63&lt;&gt;"",F63&lt;&gt;"",G63&lt;&gt;"",H63&lt;&gt;"",I63&lt;&gt;"",J63&lt;&gt;"",M63&lt;&gt;"",O63&lt;&gt;"",T63&lt;&gt;""),"COMPLETE","MISSING FIELDS")))</f>
        <v/>
      </c>
    </row>
    <row r="64" ht="15" customHeight="1" s="15">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8">
        <f>IF(A64="","",IF(COUNTIF($A$5:$A$154,A64)&gt;1,"DUPLICATE","UNIQUE"))</f>
        <v/>
      </c>
      <c r="W64" s="28">
        <f>IF(A64="","",IF(T64="Rejected","REJECTED",IF(AND(B64&lt;&gt;"",C64&lt;&gt;"",D64&lt;&gt;"",E64&lt;&gt;"",F64&lt;&gt;"",G64&lt;&gt;"",H64&lt;&gt;"",I64&lt;&gt;"",J64&lt;&gt;"",M64&lt;&gt;"",O64&lt;&gt;"",T64&lt;&gt;""),"COMPLETE","MISSING FIELDS")))</f>
        <v/>
      </c>
    </row>
    <row r="65" ht="15" customHeight="1" s="15">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8">
        <f>IF(A65="","",IF(COUNTIF($A$5:$A$154,A65)&gt;1,"DUPLICATE","UNIQUE"))</f>
        <v/>
      </c>
      <c r="W65" s="28">
        <f>IF(A65="","",IF(T65="Rejected","REJECTED",IF(AND(B65&lt;&gt;"",C65&lt;&gt;"",D65&lt;&gt;"",E65&lt;&gt;"",F65&lt;&gt;"",G65&lt;&gt;"",H65&lt;&gt;"",I65&lt;&gt;"",J65&lt;&gt;"",M65&lt;&gt;"",O65&lt;&gt;"",T65&lt;&gt;""),"COMPLETE","MISSING FIELDS")))</f>
        <v/>
      </c>
    </row>
    <row r="66" ht="15" customHeight="1" s="15">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8">
        <f>IF(A66="","",IF(COUNTIF($A$5:$A$154,A66)&gt;1,"DUPLICATE","UNIQUE"))</f>
        <v/>
      </c>
      <c r="W66" s="28">
        <f>IF(A66="","",IF(T66="Rejected","REJECTED",IF(AND(B66&lt;&gt;"",C66&lt;&gt;"",D66&lt;&gt;"",E66&lt;&gt;"",F66&lt;&gt;"",G66&lt;&gt;"",H66&lt;&gt;"",I66&lt;&gt;"",J66&lt;&gt;"",M66&lt;&gt;"",O66&lt;&gt;"",T66&lt;&gt;""),"COMPLETE","MISSING FIELDS")))</f>
        <v/>
      </c>
    </row>
    <row r="67" ht="15" customHeight="1" s="15">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8">
        <f>IF(A67="","",IF(COUNTIF($A$5:$A$154,A67)&gt;1,"DUPLICATE","UNIQUE"))</f>
        <v/>
      </c>
      <c r="W67" s="28">
        <f>IF(A67="","",IF(T67="Rejected","REJECTED",IF(AND(B67&lt;&gt;"",C67&lt;&gt;"",D67&lt;&gt;"",E67&lt;&gt;"",F67&lt;&gt;"",G67&lt;&gt;"",H67&lt;&gt;"",I67&lt;&gt;"",J67&lt;&gt;"",M67&lt;&gt;"",O67&lt;&gt;"",T67&lt;&gt;""),"COMPLETE","MISSING FIELDS")))</f>
        <v/>
      </c>
    </row>
    <row r="68" ht="15" customHeight="1" s="15">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8">
        <f>IF(A68="","",IF(COUNTIF($A$5:$A$154,A68)&gt;1,"DUPLICATE","UNIQUE"))</f>
        <v/>
      </c>
      <c r="W68" s="28">
        <f>IF(A68="","",IF(T68="Rejected","REJECTED",IF(AND(B68&lt;&gt;"",C68&lt;&gt;"",D68&lt;&gt;"",E68&lt;&gt;"",F68&lt;&gt;"",G68&lt;&gt;"",H68&lt;&gt;"",I68&lt;&gt;"",J68&lt;&gt;"",M68&lt;&gt;"",O68&lt;&gt;"",T68&lt;&gt;""),"COMPLETE","MISSING FIELDS")))</f>
        <v/>
      </c>
    </row>
    <row r="69" ht="15" customHeight="1" s="15">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8">
        <f>IF(A69="","",IF(COUNTIF($A$5:$A$154,A69)&gt;1,"DUPLICATE","UNIQUE"))</f>
        <v/>
      </c>
      <c r="W69" s="28">
        <f>IF(A69="","",IF(T69="Rejected","REJECTED",IF(AND(B69&lt;&gt;"",C69&lt;&gt;"",D69&lt;&gt;"",E69&lt;&gt;"",F69&lt;&gt;"",G69&lt;&gt;"",H69&lt;&gt;"",I69&lt;&gt;"",J69&lt;&gt;"",M69&lt;&gt;"",O69&lt;&gt;"",T69&lt;&gt;""),"COMPLETE","MISSING FIELDS")))</f>
        <v/>
      </c>
    </row>
    <row r="70" ht="15" customHeight="1" s="15">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8">
        <f>IF(A70="","",IF(COUNTIF($A$5:$A$154,A70)&gt;1,"DUPLICATE","UNIQUE"))</f>
        <v/>
      </c>
      <c r="W70" s="28">
        <f>IF(A70="","",IF(T70="Rejected","REJECTED",IF(AND(B70&lt;&gt;"",C70&lt;&gt;"",D70&lt;&gt;"",E70&lt;&gt;"",F70&lt;&gt;"",G70&lt;&gt;"",H70&lt;&gt;"",I70&lt;&gt;"",J70&lt;&gt;"",M70&lt;&gt;"",O70&lt;&gt;"",T70&lt;&gt;""),"COMPLETE","MISSING FIELDS")))</f>
        <v/>
      </c>
    </row>
    <row r="71" ht="15" customHeight="1" s="15">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8">
        <f>IF(A71="","",IF(COUNTIF($A$5:$A$154,A71)&gt;1,"DUPLICATE","UNIQUE"))</f>
        <v/>
      </c>
      <c r="W71" s="28">
        <f>IF(A71="","",IF(T71="Rejected","REJECTED",IF(AND(B71&lt;&gt;"",C71&lt;&gt;"",D71&lt;&gt;"",E71&lt;&gt;"",F71&lt;&gt;"",G71&lt;&gt;"",H71&lt;&gt;"",I71&lt;&gt;"",J71&lt;&gt;"",M71&lt;&gt;"",O71&lt;&gt;"",T71&lt;&gt;""),"COMPLETE","MISSING FIELDS")))</f>
        <v/>
      </c>
    </row>
    <row r="72" ht="15" customHeight="1" s="15">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8">
        <f>IF(A72="","",IF(COUNTIF($A$5:$A$154,A72)&gt;1,"DUPLICATE","UNIQUE"))</f>
        <v/>
      </c>
      <c r="W72" s="28">
        <f>IF(A72="","",IF(T72="Rejected","REJECTED",IF(AND(B72&lt;&gt;"",C72&lt;&gt;"",D72&lt;&gt;"",E72&lt;&gt;"",F72&lt;&gt;"",G72&lt;&gt;"",H72&lt;&gt;"",I72&lt;&gt;"",J72&lt;&gt;"",M72&lt;&gt;"",O72&lt;&gt;"",T72&lt;&gt;""),"COMPLETE","MISSING FIELDS")))</f>
        <v/>
      </c>
    </row>
    <row r="73" ht="15" customHeight="1" s="15">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8">
        <f>IF(A73="","",IF(COUNTIF($A$5:$A$154,A73)&gt;1,"DUPLICATE","UNIQUE"))</f>
        <v/>
      </c>
      <c r="W73" s="28">
        <f>IF(A73="","",IF(T73="Rejected","REJECTED",IF(AND(B73&lt;&gt;"",C73&lt;&gt;"",D73&lt;&gt;"",E73&lt;&gt;"",F73&lt;&gt;"",G73&lt;&gt;"",H73&lt;&gt;"",I73&lt;&gt;"",J73&lt;&gt;"",M73&lt;&gt;"",O73&lt;&gt;"",T73&lt;&gt;""),"COMPLETE","MISSING FIELDS")))</f>
        <v/>
      </c>
    </row>
    <row r="74" ht="15" customHeight="1" s="15">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8">
        <f>IF(A74="","",IF(COUNTIF($A$5:$A$154,A74)&gt;1,"DUPLICATE","UNIQUE"))</f>
        <v/>
      </c>
      <c r="W74" s="28">
        <f>IF(A74="","",IF(T74="Rejected","REJECTED",IF(AND(B74&lt;&gt;"",C74&lt;&gt;"",D74&lt;&gt;"",E74&lt;&gt;"",F74&lt;&gt;"",G74&lt;&gt;"",H74&lt;&gt;"",I74&lt;&gt;"",J74&lt;&gt;"",M74&lt;&gt;"",O74&lt;&gt;"",T74&lt;&gt;""),"COMPLETE","MISSING FIELDS")))</f>
        <v/>
      </c>
    </row>
    <row r="75" ht="15" customHeight="1" s="15">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8">
        <f>IF(A75="","",IF(COUNTIF($A$5:$A$154,A75)&gt;1,"DUPLICATE","UNIQUE"))</f>
        <v/>
      </c>
      <c r="W75" s="28">
        <f>IF(A75="","",IF(T75="Rejected","REJECTED",IF(AND(B75&lt;&gt;"",C75&lt;&gt;"",D75&lt;&gt;"",E75&lt;&gt;"",F75&lt;&gt;"",G75&lt;&gt;"",H75&lt;&gt;"",I75&lt;&gt;"",J75&lt;&gt;"",M75&lt;&gt;"",O75&lt;&gt;"",T75&lt;&gt;""),"COMPLETE","MISSING FIELDS")))</f>
        <v/>
      </c>
    </row>
    <row r="76" ht="15" customHeight="1" s="15">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8">
        <f>IF(A76="","",IF(COUNTIF($A$5:$A$154,A76)&gt;1,"DUPLICATE","UNIQUE"))</f>
        <v/>
      </c>
      <c r="W76" s="28">
        <f>IF(A76="","",IF(T76="Rejected","REJECTED",IF(AND(B76&lt;&gt;"",C76&lt;&gt;"",D76&lt;&gt;"",E76&lt;&gt;"",F76&lt;&gt;"",G76&lt;&gt;"",H76&lt;&gt;"",I76&lt;&gt;"",J76&lt;&gt;"",M76&lt;&gt;"",O76&lt;&gt;"",T76&lt;&gt;""),"COMPLETE","MISSING FIELDS")))</f>
        <v/>
      </c>
    </row>
    <row r="77" ht="15" customHeight="1" s="15">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8">
        <f>IF(A77="","",IF(COUNTIF($A$5:$A$154,A77)&gt;1,"DUPLICATE","UNIQUE"))</f>
        <v/>
      </c>
      <c r="W77" s="28">
        <f>IF(A77="","",IF(T77="Rejected","REJECTED",IF(AND(B77&lt;&gt;"",C77&lt;&gt;"",D77&lt;&gt;"",E77&lt;&gt;"",F77&lt;&gt;"",G77&lt;&gt;"",H77&lt;&gt;"",I77&lt;&gt;"",J77&lt;&gt;"",M77&lt;&gt;"",O77&lt;&gt;"",T77&lt;&gt;""),"COMPLETE","MISSING FIELDS")))</f>
        <v/>
      </c>
    </row>
    <row r="78" ht="15" customHeight="1" s="15">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8">
        <f>IF(A78="","",IF(COUNTIF($A$5:$A$154,A78)&gt;1,"DUPLICATE","UNIQUE"))</f>
        <v/>
      </c>
      <c r="W78" s="28">
        <f>IF(A78="","",IF(T78="Rejected","REJECTED",IF(AND(B78&lt;&gt;"",C78&lt;&gt;"",D78&lt;&gt;"",E78&lt;&gt;"",F78&lt;&gt;"",G78&lt;&gt;"",H78&lt;&gt;"",I78&lt;&gt;"",J78&lt;&gt;"",M78&lt;&gt;"",O78&lt;&gt;"",T78&lt;&gt;""),"COMPLETE","MISSING FIELDS")))</f>
        <v/>
      </c>
    </row>
    <row r="79" ht="15" customHeight="1" s="15">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8">
        <f>IF(A79="","",IF(COUNTIF($A$5:$A$154,A79)&gt;1,"DUPLICATE","UNIQUE"))</f>
        <v/>
      </c>
      <c r="W79" s="28">
        <f>IF(A79="","",IF(T79="Rejected","REJECTED",IF(AND(B79&lt;&gt;"",C79&lt;&gt;"",D79&lt;&gt;"",E79&lt;&gt;"",F79&lt;&gt;"",G79&lt;&gt;"",H79&lt;&gt;"",I79&lt;&gt;"",J79&lt;&gt;"",M79&lt;&gt;"",O79&lt;&gt;"",T79&lt;&gt;""),"COMPLETE","MISSING FIELDS")))</f>
        <v/>
      </c>
    </row>
    <row r="80" ht="15" customHeight="1" s="15">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8">
        <f>IF(A80="","",IF(COUNTIF($A$5:$A$154,A80)&gt;1,"DUPLICATE","UNIQUE"))</f>
        <v/>
      </c>
      <c r="W80" s="28">
        <f>IF(A80="","",IF(T80="Rejected","REJECTED",IF(AND(B80&lt;&gt;"",C80&lt;&gt;"",D80&lt;&gt;"",E80&lt;&gt;"",F80&lt;&gt;"",G80&lt;&gt;"",H80&lt;&gt;"",I80&lt;&gt;"",J80&lt;&gt;"",M80&lt;&gt;"",O80&lt;&gt;"",T80&lt;&gt;""),"COMPLETE","MISSING FIELDS")))</f>
        <v/>
      </c>
    </row>
    <row r="81" ht="15" customHeight="1" s="15">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8">
        <f>IF(A81="","",IF(COUNTIF($A$5:$A$154,A81)&gt;1,"DUPLICATE","UNIQUE"))</f>
        <v/>
      </c>
      <c r="W81" s="28">
        <f>IF(A81="","",IF(T81="Rejected","REJECTED",IF(AND(B81&lt;&gt;"",C81&lt;&gt;"",D81&lt;&gt;"",E81&lt;&gt;"",F81&lt;&gt;"",G81&lt;&gt;"",H81&lt;&gt;"",I81&lt;&gt;"",J81&lt;&gt;"",M81&lt;&gt;"",O81&lt;&gt;"",T81&lt;&gt;""),"COMPLETE","MISSING FIELDS")))</f>
        <v/>
      </c>
    </row>
    <row r="82" ht="15" customHeight="1" s="15">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8">
        <f>IF(A82="","",IF(COUNTIF($A$5:$A$154,A82)&gt;1,"DUPLICATE","UNIQUE"))</f>
        <v/>
      </c>
      <c r="W82" s="28">
        <f>IF(A82="","",IF(T82="Rejected","REJECTED",IF(AND(B82&lt;&gt;"",C82&lt;&gt;"",D82&lt;&gt;"",E82&lt;&gt;"",F82&lt;&gt;"",G82&lt;&gt;"",H82&lt;&gt;"",I82&lt;&gt;"",J82&lt;&gt;"",M82&lt;&gt;"",O82&lt;&gt;"",T82&lt;&gt;""),"COMPLETE","MISSING FIELDS")))</f>
        <v/>
      </c>
    </row>
    <row r="83" ht="15" customHeight="1" s="15">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8">
        <f>IF(A83="","",IF(COUNTIF($A$5:$A$154,A83)&gt;1,"DUPLICATE","UNIQUE"))</f>
        <v/>
      </c>
      <c r="W83" s="28">
        <f>IF(A83="","",IF(T83="Rejected","REJECTED",IF(AND(B83&lt;&gt;"",C83&lt;&gt;"",D83&lt;&gt;"",E83&lt;&gt;"",F83&lt;&gt;"",G83&lt;&gt;"",H83&lt;&gt;"",I83&lt;&gt;"",J83&lt;&gt;"",M83&lt;&gt;"",O83&lt;&gt;"",T83&lt;&gt;""),"COMPLETE","MISSING FIELDS")))</f>
        <v/>
      </c>
    </row>
    <row r="84" ht="15" customHeight="1" s="15">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8">
        <f>IF(A84="","",IF(COUNTIF($A$5:$A$154,A84)&gt;1,"DUPLICATE","UNIQUE"))</f>
        <v/>
      </c>
      <c r="W84" s="28">
        <f>IF(A84="","",IF(T84="Rejected","REJECTED",IF(AND(B84&lt;&gt;"",C84&lt;&gt;"",D84&lt;&gt;"",E84&lt;&gt;"",F84&lt;&gt;"",G84&lt;&gt;"",H84&lt;&gt;"",I84&lt;&gt;"",J84&lt;&gt;"",M84&lt;&gt;"",O84&lt;&gt;"",T84&lt;&gt;""),"COMPLETE","MISSING FIELDS")))</f>
        <v/>
      </c>
    </row>
    <row r="85" ht="15" customHeight="1" s="15">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8">
        <f>IF(A85="","",IF(COUNTIF($A$5:$A$154,A85)&gt;1,"DUPLICATE","UNIQUE"))</f>
        <v/>
      </c>
      <c r="W85" s="28">
        <f>IF(A85="","",IF(T85="Rejected","REJECTED",IF(AND(B85&lt;&gt;"",C85&lt;&gt;"",D85&lt;&gt;"",E85&lt;&gt;"",F85&lt;&gt;"",G85&lt;&gt;"",H85&lt;&gt;"",I85&lt;&gt;"",J85&lt;&gt;"",M85&lt;&gt;"",O85&lt;&gt;"",T85&lt;&gt;""),"COMPLETE","MISSING FIELDS")))</f>
        <v/>
      </c>
    </row>
    <row r="86" ht="15" customHeight="1" s="15">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8">
        <f>IF(A86="","",IF(COUNTIF($A$5:$A$154,A86)&gt;1,"DUPLICATE","UNIQUE"))</f>
        <v/>
      </c>
      <c r="W86" s="28">
        <f>IF(A86="","",IF(T86="Rejected","REJECTED",IF(AND(B86&lt;&gt;"",C86&lt;&gt;"",D86&lt;&gt;"",E86&lt;&gt;"",F86&lt;&gt;"",G86&lt;&gt;"",H86&lt;&gt;"",I86&lt;&gt;"",J86&lt;&gt;"",M86&lt;&gt;"",O86&lt;&gt;"",T86&lt;&gt;""),"COMPLETE","MISSING FIELDS")))</f>
        <v/>
      </c>
    </row>
    <row r="87" ht="15" customHeight="1" s="15">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8">
        <f>IF(A87="","",IF(COUNTIF($A$5:$A$154,A87)&gt;1,"DUPLICATE","UNIQUE"))</f>
        <v/>
      </c>
      <c r="W87" s="28">
        <f>IF(A87="","",IF(T87="Rejected","REJECTED",IF(AND(B87&lt;&gt;"",C87&lt;&gt;"",D87&lt;&gt;"",E87&lt;&gt;"",F87&lt;&gt;"",G87&lt;&gt;"",H87&lt;&gt;"",I87&lt;&gt;"",J87&lt;&gt;"",M87&lt;&gt;"",O87&lt;&gt;"",T87&lt;&gt;""),"COMPLETE","MISSING FIELDS")))</f>
        <v/>
      </c>
    </row>
    <row r="88" ht="15" customHeight="1" s="15">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8">
        <f>IF(A88="","",IF(COUNTIF($A$5:$A$154,A88)&gt;1,"DUPLICATE","UNIQUE"))</f>
        <v/>
      </c>
      <c r="W88" s="28">
        <f>IF(A88="","",IF(T88="Rejected","REJECTED",IF(AND(B88&lt;&gt;"",C88&lt;&gt;"",D88&lt;&gt;"",E88&lt;&gt;"",F88&lt;&gt;"",G88&lt;&gt;"",H88&lt;&gt;"",I88&lt;&gt;"",J88&lt;&gt;"",M88&lt;&gt;"",O88&lt;&gt;"",T88&lt;&gt;""),"COMPLETE","MISSING FIELDS")))</f>
        <v/>
      </c>
    </row>
    <row r="89" ht="15" customHeight="1" s="15">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8">
        <f>IF(A89="","",IF(COUNTIF($A$5:$A$154,A89)&gt;1,"DUPLICATE","UNIQUE"))</f>
        <v/>
      </c>
      <c r="W89" s="28">
        <f>IF(A89="","",IF(T89="Rejected","REJECTED",IF(AND(B89&lt;&gt;"",C89&lt;&gt;"",D89&lt;&gt;"",E89&lt;&gt;"",F89&lt;&gt;"",G89&lt;&gt;"",H89&lt;&gt;"",I89&lt;&gt;"",J89&lt;&gt;"",M89&lt;&gt;"",O89&lt;&gt;"",T89&lt;&gt;""),"COMPLETE","MISSING FIELDS")))</f>
        <v/>
      </c>
    </row>
    <row r="90" ht="15" customHeight="1" s="15">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8">
        <f>IF(A90="","",IF(COUNTIF($A$5:$A$154,A90)&gt;1,"DUPLICATE","UNIQUE"))</f>
        <v/>
      </c>
      <c r="W90" s="28">
        <f>IF(A90="","",IF(T90="Rejected","REJECTED",IF(AND(B90&lt;&gt;"",C90&lt;&gt;"",D90&lt;&gt;"",E90&lt;&gt;"",F90&lt;&gt;"",G90&lt;&gt;"",H90&lt;&gt;"",I90&lt;&gt;"",J90&lt;&gt;"",M90&lt;&gt;"",O90&lt;&gt;"",T90&lt;&gt;""),"COMPLETE","MISSING FIELDS")))</f>
        <v/>
      </c>
    </row>
    <row r="91" ht="15" customHeight="1" s="15">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8">
        <f>IF(A91="","",IF(COUNTIF($A$5:$A$154,A91)&gt;1,"DUPLICATE","UNIQUE"))</f>
        <v/>
      </c>
      <c r="W91" s="28">
        <f>IF(A91="","",IF(T91="Rejected","REJECTED",IF(AND(B91&lt;&gt;"",C91&lt;&gt;"",D91&lt;&gt;"",E91&lt;&gt;"",F91&lt;&gt;"",G91&lt;&gt;"",H91&lt;&gt;"",I91&lt;&gt;"",J91&lt;&gt;"",M91&lt;&gt;"",O91&lt;&gt;"",T91&lt;&gt;""),"COMPLETE","MISSING FIELDS")))</f>
        <v/>
      </c>
    </row>
    <row r="92" ht="15" customHeight="1" s="15">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8">
        <f>IF(A92="","",IF(COUNTIF($A$5:$A$154,A92)&gt;1,"DUPLICATE","UNIQUE"))</f>
        <v/>
      </c>
      <c r="W92" s="28">
        <f>IF(A92="","",IF(T92="Rejected","REJECTED",IF(AND(B92&lt;&gt;"",C92&lt;&gt;"",D92&lt;&gt;"",E92&lt;&gt;"",F92&lt;&gt;"",G92&lt;&gt;"",H92&lt;&gt;"",I92&lt;&gt;"",J92&lt;&gt;"",M92&lt;&gt;"",O92&lt;&gt;"",T92&lt;&gt;""),"COMPLETE","MISSING FIELDS")))</f>
        <v/>
      </c>
    </row>
    <row r="93" ht="15" customHeight="1" s="15">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8">
        <f>IF(A93="","",IF(COUNTIF($A$5:$A$154,A93)&gt;1,"DUPLICATE","UNIQUE"))</f>
        <v/>
      </c>
      <c r="W93" s="28">
        <f>IF(A93="","",IF(T93="Rejected","REJECTED",IF(AND(B93&lt;&gt;"",C93&lt;&gt;"",D93&lt;&gt;"",E93&lt;&gt;"",F93&lt;&gt;"",G93&lt;&gt;"",H93&lt;&gt;"",I93&lt;&gt;"",J93&lt;&gt;"",M93&lt;&gt;"",O93&lt;&gt;"",T93&lt;&gt;""),"COMPLETE","MISSING FIELDS")))</f>
        <v/>
      </c>
    </row>
    <row r="94" ht="15" customHeight="1" s="15">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8">
        <f>IF(A94="","",IF(COUNTIF($A$5:$A$154,A94)&gt;1,"DUPLICATE","UNIQUE"))</f>
        <v/>
      </c>
      <c r="W94" s="28">
        <f>IF(A94="","",IF(T94="Rejected","REJECTED",IF(AND(B94&lt;&gt;"",C94&lt;&gt;"",D94&lt;&gt;"",E94&lt;&gt;"",F94&lt;&gt;"",G94&lt;&gt;"",H94&lt;&gt;"",I94&lt;&gt;"",J94&lt;&gt;"",M94&lt;&gt;"",O94&lt;&gt;"",T94&lt;&gt;""),"COMPLETE","MISSING FIELDS")))</f>
        <v/>
      </c>
    </row>
    <row r="95" ht="15" customHeight="1" s="15">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8">
        <f>IF(A95="","",IF(COUNTIF($A$5:$A$154,A95)&gt;1,"DUPLICATE","UNIQUE"))</f>
        <v/>
      </c>
      <c r="W95" s="28">
        <f>IF(A95="","",IF(T95="Rejected","REJECTED",IF(AND(B95&lt;&gt;"",C95&lt;&gt;"",D95&lt;&gt;"",E95&lt;&gt;"",F95&lt;&gt;"",G95&lt;&gt;"",H95&lt;&gt;"",I95&lt;&gt;"",J95&lt;&gt;"",M95&lt;&gt;"",O95&lt;&gt;"",T95&lt;&gt;""),"COMPLETE","MISSING FIELDS")))</f>
        <v/>
      </c>
    </row>
    <row r="96" ht="15" customHeight="1" s="15">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8">
        <f>IF(A96="","",IF(COUNTIF($A$5:$A$154,A96)&gt;1,"DUPLICATE","UNIQUE"))</f>
        <v/>
      </c>
      <c r="W96" s="28">
        <f>IF(A96="","",IF(T96="Rejected","REJECTED",IF(AND(B96&lt;&gt;"",C96&lt;&gt;"",D96&lt;&gt;"",E96&lt;&gt;"",F96&lt;&gt;"",G96&lt;&gt;"",H96&lt;&gt;"",I96&lt;&gt;"",J96&lt;&gt;"",M96&lt;&gt;"",O96&lt;&gt;"",T96&lt;&gt;""),"COMPLETE","MISSING FIELDS")))</f>
        <v/>
      </c>
    </row>
    <row r="97" ht="15" customHeight="1" s="15">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8">
        <f>IF(A97="","",IF(COUNTIF($A$5:$A$154,A97)&gt;1,"DUPLICATE","UNIQUE"))</f>
        <v/>
      </c>
      <c r="W97" s="28">
        <f>IF(A97="","",IF(T97="Rejected","REJECTED",IF(AND(B97&lt;&gt;"",C97&lt;&gt;"",D97&lt;&gt;"",E97&lt;&gt;"",F97&lt;&gt;"",G97&lt;&gt;"",H97&lt;&gt;"",I97&lt;&gt;"",J97&lt;&gt;"",M97&lt;&gt;"",O97&lt;&gt;"",T97&lt;&gt;""),"COMPLETE","MISSING FIELDS")))</f>
        <v/>
      </c>
    </row>
    <row r="98" ht="15" customHeight="1" s="15">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8">
        <f>IF(A98="","",IF(COUNTIF($A$5:$A$154,A98)&gt;1,"DUPLICATE","UNIQUE"))</f>
        <v/>
      </c>
      <c r="W98" s="28">
        <f>IF(A98="","",IF(T98="Rejected","REJECTED",IF(AND(B98&lt;&gt;"",C98&lt;&gt;"",D98&lt;&gt;"",E98&lt;&gt;"",F98&lt;&gt;"",G98&lt;&gt;"",H98&lt;&gt;"",I98&lt;&gt;"",J98&lt;&gt;"",M98&lt;&gt;"",O98&lt;&gt;"",T98&lt;&gt;""),"COMPLETE","MISSING FIELDS")))</f>
        <v/>
      </c>
    </row>
    <row r="99" ht="15" customHeight="1" s="15">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8">
        <f>IF(A99="","",IF(COUNTIF($A$5:$A$154,A99)&gt;1,"DUPLICATE","UNIQUE"))</f>
        <v/>
      </c>
      <c r="W99" s="28">
        <f>IF(A99="","",IF(T99="Rejected","REJECTED",IF(AND(B99&lt;&gt;"",C99&lt;&gt;"",D99&lt;&gt;"",E99&lt;&gt;"",F99&lt;&gt;"",G99&lt;&gt;"",H99&lt;&gt;"",I99&lt;&gt;"",J99&lt;&gt;"",M99&lt;&gt;"",O99&lt;&gt;"",T99&lt;&gt;""),"COMPLETE","MISSING FIELDS")))</f>
        <v/>
      </c>
    </row>
    <row r="100" ht="15" customHeight="1" s="15">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8">
        <f>IF(A100="","",IF(COUNTIF($A$5:$A$154,A100)&gt;1,"DUPLICATE","UNIQUE"))</f>
        <v/>
      </c>
      <c r="W100" s="28">
        <f>IF(A100="","",IF(T100="Rejected","REJECTED",IF(AND(B100&lt;&gt;"",C100&lt;&gt;"",D100&lt;&gt;"",E100&lt;&gt;"",F100&lt;&gt;"",G100&lt;&gt;"",H100&lt;&gt;"",I100&lt;&gt;"",J100&lt;&gt;"",M100&lt;&gt;"",O100&lt;&gt;"",T100&lt;&gt;""),"COMPLETE","MISSING FIELDS")))</f>
        <v/>
      </c>
    </row>
    <row r="101" ht="15" customHeight="1" s="15">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8">
        <f>IF(A101="","",IF(COUNTIF($A$5:$A$154,A101)&gt;1,"DUPLICATE","UNIQUE"))</f>
        <v/>
      </c>
      <c r="W101" s="28">
        <f>IF(A101="","",IF(T101="Rejected","REJECTED",IF(AND(B101&lt;&gt;"",C101&lt;&gt;"",D101&lt;&gt;"",E101&lt;&gt;"",F101&lt;&gt;"",G101&lt;&gt;"",H101&lt;&gt;"",I101&lt;&gt;"",J101&lt;&gt;"",M101&lt;&gt;"",O101&lt;&gt;"",T101&lt;&gt;""),"COMPLETE","MISSING FIELDS")))</f>
        <v/>
      </c>
    </row>
    <row r="102" ht="15" customHeight="1" s="15">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8">
        <f>IF(A102="","",IF(COUNTIF($A$5:$A$154,A102)&gt;1,"DUPLICATE","UNIQUE"))</f>
        <v/>
      </c>
      <c r="W102" s="28">
        <f>IF(A102="","",IF(T102="Rejected","REJECTED",IF(AND(B102&lt;&gt;"",C102&lt;&gt;"",D102&lt;&gt;"",E102&lt;&gt;"",F102&lt;&gt;"",G102&lt;&gt;"",H102&lt;&gt;"",I102&lt;&gt;"",J102&lt;&gt;"",M102&lt;&gt;"",O102&lt;&gt;"",T102&lt;&gt;""),"COMPLETE","MISSING FIELDS")))</f>
        <v/>
      </c>
    </row>
    <row r="103" ht="15" customHeight="1" s="15">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8">
        <f>IF(A103="","",IF(COUNTIF($A$5:$A$154,A103)&gt;1,"DUPLICATE","UNIQUE"))</f>
        <v/>
      </c>
      <c r="W103" s="28">
        <f>IF(A103="","",IF(T103="Rejected","REJECTED",IF(AND(B103&lt;&gt;"",C103&lt;&gt;"",D103&lt;&gt;"",E103&lt;&gt;"",F103&lt;&gt;"",G103&lt;&gt;"",H103&lt;&gt;"",I103&lt;&gt;"",J103&lt;&gt;"",M103&lt;&gt;"",O103&lt;&gt;"",T103&lt;&gt;""),"COMPLETE","MISSING FIELDS")))</f>
        <v/>
      </c>
    </row>
    <row r="104" ht="15" customHeight="1" s="15">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8">
        <f>IF(A104="","",IF(COUNTIF($A$5:$A$154,A104)&gt;1,"DUPLICATE","UNIQUE"))</f>
        <v/>
      </c>
      <c r="W104" s="28">
        <f>IF(A104="","",IF(T104="Rejected","REJECTED",IF(AND(B104&lt;&gt;"",C104&lt;&gt;"",D104&lt;&gt;"",E104&lt;&gt;"",F104&lt;&gt;"",G104&lt;&gt;"",H104&lt;&gt;"",I104&lt;&gt;"",J104&lt;&gt;"",M104&lt;&gt;"",O104&lt;&gt;"",T104&lt;&gt;""),"COMPLETE","MISSING FIELDS")))</f>
        <v/>
      </c>
    </row>
    <row r="105" ht="15" customHeight="1" s="1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8">
        <f>IF(A105="","",IF(COUNTIF($A$5:$A$154,A105)&gt;1,"DUPLICATE","UNIQUE"))</f>
        <v/>
      </c>
      <c r="W105" s="28">
        <f>IF(A105="","",IF(T105="Rejected","REJECTED",IF(AND(B105&lt;&gt;"",C105&lt;&gt;"",D105&lt;&gt;"",E105&lt;&gt;"",F105&lt;&gt;"",G105&lt;&gt;"",H105&lt;&gt;"",I105&lt;&gt;"",J105&lt;&gt;"",M105&lt;&gt;"",O105&lt;&gt;"",T105&lt;&gt;""),"COMPLETE","MISSING FIELDS")))</f>
        <v/>
      </c>
    </row>
    <row r="106" ht="15" customHeight="1" s="15">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8">
        <f>IF(A106="","",IF(COUNTIF($A$5:$A$154,A106)&gt;1,"DUPLICATE","UNIQUE"))</f>
        <v/>
      </c>
      <c r="W106" s="28">
        <f>IF(A106="","",IF(T106="Rejected","REJECTED",IF(AND(B106&lt;&gt;"",C106&lt;&gt;"",D106&lt;&gt;"",E106&lt;&gt;"",F106&lt;&gt;"",G106&lt;&gt;"",H106&lt;&gt;"",I106&lt;&gt;"",J106&lt;&gt;"",M106&lt;&gt;"",O106&lt;&gt;"",T106&lt;&gt;""),"COMPLETE","MISSING FIELDS")))</f>
        <v/>
      </c>
    </row>
    <row r="107" ht="15" customHeight="1" s="15">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8">
        <f>IF(A107="","",IF(COUNTIF($A$5:$A$154,A107)&gt;1,"DUPLICATE","UNIQUE"))</f>
        <v/>
      </c>
      <c r="W107" s="28">
        <f>IF(A107="","",IF(T107="Rejected","REJECTED",IF(AND(B107&lt;&gt;"",C107&lt;&gt;"",D107&lt;&gt;"",E107&lt;&gt;"",F107&lt;&gt;"",G107&lt;&gt;"",H107&lt;&gt;"",I107&lt;&gt;"",J107&lt;&gt;"",M107&lt;&gt;"",O107&lt;&gt;"",T107&lt;&gt;""),"COMPLETE","MISSING FIELDS")))</f>
        <v/>
      </c>
    </row>
    <row r="108" ht="15" customHeight="1" s="15">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8">
        <f>IF(A108="","",IF(COUNTIF($A$5:$A$154,A108)&gt;1,"DUPLICATE","UNIQUE"))</f>
        <v/>
      </c>
      <c r="W108" s="28">
        <f>IF(A108="","",IF(T108="Rejected","REJECTED",IF(AND(B108&lt;&gt;"",C108&lt;&gt;"",D108&lt;&gt;"",E108&lt;&gt;"",F108&lt;&gt;"",G108&lt;&gt;"",H108&lt;&gt;"",I108&lt;&gt;"",J108&lt;&gt;"",M108&lt;&gt;"",O108&lt;&gt;"",T108&lt;&gt;""),"COMPLETE","MISSING FIELDS")))</f>
        <v/>
      </c>
    </row>
    <row r="109" ht="15" customHeight="1" s="15">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8">
        <f>IF(A109="","",IF(COUNTIF($A$5:$A$154,A109)&gt;1,"DUPLICATE","UNIQUE"))</f>
        <v/>
      </c>
      <c r="W109" s="28">
        <f>IF(A109="","",IF(T109="Rejected","REJECTED",IF(AND(B109&lt;&gt;"",C109&lt;&gt;"",D109&lt;&gt;"",E109&lt;&gt;"",F109&lt;&gt;"",G109&lt;&gt;"",H109&lt;&gt;"",I109&lt;&gt;"",J109&lt;&gt;"",M109&lt;&gt;"",O109&lt;&gt;"",T109&lt;&gt;""),"COMPLETE","MISSING FIELDS")))</f>
        <v/>
      </c>
    </row>
    <row r="110" ht="15" customHeight="1" s="15">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8">
        <f>IF(A110="","",IF(COUNTIF($A$5:$A$154,A110)&gt;1,"DUPLICATE","UNIQUE"))</f>
        <v/>
      </c>
      <c r="W110" s="28">
        <f>IF(A110="","",IF(T110="Rejected","REJECTED",IF(AND(B110&lt;&gt;"",C110&lt;&gt;"",D110&lt;&gt;"",E110&lt;&gt;"",F110&lt;&gt;"",G110&lt;&gt;"",H110&lt;&gt;"",I110&lt;&gt;"",J110&lt;&gt;"",M110&lt;&gt;"",O110&lt;&gt;"",T110&lt;&gt;""),"COMPLETE","MISSING FIELDS")))</f>
        <v/>
      </c>
    </row>
    <row r="111" ht="15" customHeight="1" s="15">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8">
        <f>IF(A111="","",IF(COUNTIF($A$5:$A$154,A111)&gt;1,"DUPLICATE","UNIQUE"))</f>
        <v/>
      </c>
      <c r="W111" s="28">
        <f>IF(A111="","",IF(T111="Rejected","REJECTED",IF(AND(B111&lt;&gt;"",C111&lt;&gt;"",D111&lt;&gt;"",E111&lt;&gt;"",F111&lt;&gt;"",G111&lt;&gt;"",H111&lt;&gt;"",I111&lt;&gt;"",J111&lt;&gt;"",M111&lt;&gt;"",O111&lt;&gt;"",T111&lt;&gt;""),"COMPLETE","MISSING FIELDS")))</f>
        <v/>
      </c>
    </row>
    <row r="112" ht="15" customHeight="1" s="15">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8">
        <f>IF(A112="","",IF(COUNTIF($A$5:$A$154,A112)&gt;1,"DUPLICATE","UNIQUE"))</f>
        <v/>
      </c>
      <c r="W112" s="28">
        <f>IF(A112="","",IF(T112="Rejected","REJECTED",IF(AND(B112&lt;&gt;"",C112&lt;&gt;"",D112&lt;&gt;"",E112&lt;&gt;"",F112&lt;&gt;"",G112&lt;&gt;"",H112&lt;&gt;"",I112&lt;&gt;"",J112&lt;&gt;"",M112&lt;&gt;"",O112&lt;&gt;"",T112&lt;&gt;""),"COMPLETE","MISSING FIELDS")))</f>
        <v/>
      </c>
    </row>
    <row r="113" ht="15" customHeight="1" s="15">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8">
        <f>IF(A113="","",IF(COUNTIF($A$5:$A$154,A113)&gt;1,"DUPLICATE","UNIQUE"))</f>
        <v/>
      </c>
      <c r="W113" s="28">
        <f>IF(A113="","",IF(T113="Rejected","REJECTED",IF(AND(B113&lt;&gt;"",C113&lt;&gt;"",D113&lt;&gt;"",E113&lt;&gt;"",F113&lt;&gt;"",G113&lt;&gt;"",H113&lt;&gt;"",I113&lt;&gt;"",J113&lt;&gt;"",M113&lt;&gt;"",O113&lt;&gt;"",T113&lt;&gt;""),"COMPLETE","MISSING FIELDS")))</f>
        <v/>
      </c>
    </row>
    <row r="114" ht="15" customHeight="1" s="15">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8">
        <f>IF(A114="","",IF(COUNTIF($A$5:$A$154,A114)&gt;1,"DUPLICATE","UNIQUE"))</f>
        <v/>
      </c>
      <c r="W114" s="28">
        <f>IF(A114="","",IF(T114="Rejected","REJECTED",IF(AND(B114&lt;&gt;"",C114&lt;&gt;"",D114&lt;&gt;"",E114&lt;&gt;"",F114&lt;&gt;"",G114&lt;&gt;"",H114&lt;&gt;"",I114&lt;&gt;"",J114&lt;&gt;"",M114&lt;&gt;"",O114&lt;&gt;"",T114&lt;&gt;""),"COMPLETE","MISSING FIELDS")))</f>
        <v/>
      </c>
    </row>
    <row r="115" ht="15" customHeight="1" s="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8">
        <f>IF(A115="","",IF(COUNTIF($A$5:$A$154,A115)&gt;1,"DUPLICATE","UNIQUE"))</f>
        <v/>
      </c>
      <c r="W115" s="28">
        <f>IF(A115="","",IF(T115="Rejected","REJECTED",IF(AND(B115&lt;&gt;"",C115&lt;&gt;"",D115&lt;&gt;"",E115&lt;&gt;"",F115&lt;&gt;"",G115&lt;&gt;"",H115&lt;&gt;"",I115&lt;&gt;"",J115&lt;&gt;"",M115&lt;&gt;"",O115&lt;&gt;"",T115&lt;&gt;""),"COMPLETE","MISSING FIELDS")))</f>
        <v/>
      </c>
    </row>
    <row r="116" ht="15" customHeight="1" s="15">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8">
        <f>IF(A116="","",IF(COUNTIF($A$5:$A$154,A116)&gt;1,"DUPLICATE","UNIQUE"))</f>
        <v/>
      </c>
      <c r="W116" s="28">
        <f>IF(A116="","",IF(T116="Rejected","REJECTED",IF(AND(B116&lt;&gt;"",C116&lt;&gt;"",D116&lt;&gt;"",E116&lt;&gt;"",F116&lt;&gt;"",G116&lt;&gt;"",H116&lt;&gt;"",I116&lt;&gt;"",J116&lt;&gt;"",M116&lt;&gt;"",O116&lt;&gt;"",T116&lt;&gt;""),"COMPLETE","MISSING FIELDS")))</f>
        <v/>
      </c>
    </row>
    <row r="117" ht="15" customHeight="1" s="15">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8">
        <f>IF(A117="","",IF(COUNTIF($A$5:$A$154,A117)&gt;1,"DUPLICATE","UNIQUE"))</f>
        <v/>
      </c>
      <c r="W117" s="28">
        <f>IF(A117="","",IF(T117="Rejected","REJECTED",IF(AND(B117&lt;&gt;"",C117&lt;&gt;"",D117&lt;&gt;"",E117&lt;&gt;"",F117&lt;&gt;"",G117&lt;&gt;"",H117&lt;&gt;"",I117&lt;&gt;"",J117&lt;&gt;"",M117&lt;&gt;"",O117&lt;&gt;"",T117&lt;&gt;""),"COMPLETE","MISSING FIELDS")))</f>
        <v/>
      </c>
    </row>
    <row r="118" ht="15" customHeight="1" s="15">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8">
        <f>IF(A118="","",IF(COUNTIF($A$5:$A$154,A118)&gt;1,"DUPLICATE","UNIQUE"))</f>
        <v/>
      </c>
      <c r="W118" s="28">
        <f>IF(A118="","",IF(T118="Rejected","REJECTED",IF(AND(B118&lt;&gt;"",C118&lt;&gt;"",D118&lt;&gt;"",E118&lt;&gt;"",F118&lt;&gt;"",G118&lt;&gt;"",H118&lt;&gt;"",I118&lt;&gt;"",J118&lt;&gt;"",M118&lt;&gt;"",O118&lt;&gt;"",T118&lt;&gt;""),"COMPLETE","MISSING FIELDS")))</f>
        <v/>
      </c>
    </row>
    <row r="119" ht="15" customHeight="1" s="15">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8">
        <f>IF(A119="","",IF(COUNTIF($A$5:$A$154,A119)&gt;1,"DUPLICATE","UNIQUE"))</f>
        <v/>
      </c>
      <c r="W119" s="28">
        <f>IF(A119="","",IF(T119="Rejected","REJECTED",IF(AND(B119&lt;&gt;"",C119&lt;&gt;"",D119&lt;&gt;"",E119&lt;&gt;"",F119&lt;&gt;"",G119&lt;&gt;"",H119&lt;&gt;"",I119&lt;&gt;"",J119&lt;&gt;"",M119&lt;&gt;"",O119&lt;&gt;"",T119&lt;&gt;""),"COMPLETE","MISSING FIELDS")))</f>
        <v/>
      </c>
    </row>
    <row r="120" ht="15" customHeight="1" s="15">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8">
        <f>IF(A120="","",IF(COUNTIF($A$5:$A$154,A120)&gt;1,"DUPLICATE","UNIQUE"))</f>
        <v/>
      </c>
      <c r="W120" s="28">
        <f>IF(A120="","",IF(T120="Rejected","REJECTED",IF(AND(B120&lt;&gt;"",C120&lt;&gt;"",D120&lt;&gt;"",E120&lt;&gt;"",F120&lt;&gt;"",G120&lt;&gt;"",H120&lt;&gt;"",I120&lt;&gt;"",J120&lt;&gt;"",M120&lt;&gt;"",O120&lt;&gt;"",T120&lt;&gt;""),"COMPLETE","MISSING FIELDS")))</f>
        <v/>
      </c>
    </row>
    <row r="121" ht="15" customHeight="1" s="15">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8">
        <f>IF(A121="","",IF(COUNTIF($A$5:$A$154,A121)&gt;1,"DUPLICATE","UNIQUE"))</f>
        <v/>
      </c>
      <c r="W121" s="28">
        <f>IF(A121="","",IF(T121="Rejected","REJECTED",IF(AND(B121&lt;&gt;"",C121&lt;&gt;"",D121&lt;&gt;"",E121&lt;&gt;"",F121&lt;&gt;"",G121&lt;&gt;"",H121&lt;&gt;"",I121&lt;&gt;"",J121&lt;&gt;"",M121&lt;&gt;"",O121&lt;&gt;"",T121&lt;&gt;""),"COMPLETE","MISSING FIELDS")))</f>
        <v/>
      </c>
    </row>
    <row r="122" ht="15" customHeight="1" s="15">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8">
        <f>IF(A122="","",IF(COUNTIF($A$5:$A$154,A122)&gt;1,"DUPLICATE","UNIQUE"))</f>
        <v/>
      </c>
      <c r="W122" s="28">
        <f>IF(A122="","",IF(T122="Rejected","REJECTED",IF(AND(B122&lt;&gt;"",C122&lt;&gt;"",D122&lt;&gt;"",E122&lt;&gt;"",F122&lt;&gt;"",G122&lt;&gt;"",H122&lt;&gt;"",I122&lt;&gt;"",J122&lt;&gt;"",M122&lt;&gt;"",O122&lt;&gt;"",T122&lt;&gt;""),"COMPLETE","MISSING FIELDS")))</f>
        <v/>
      </c>
    </row>
    <row r="123" ht="15" customHeight="1" s="15">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8">
        <f>IF(A123="","",IF(COUNTIF($A$5:$A$154,A123)&gt;1,"DUPLICATE","UNIQUE"))</f>
        <v/>
      </c>
      <c r="W123" s="28">
        <f>IF(A123="","",IF(T123="Rejected","REJECTED",IF(AND(B123&lt;&gt;"",C123&lt;&gt;"",D123&lt;&gt;"",E123&lt;&gt;"",F123&lt;&gt;"",G123&lt;&gt;"",H123&lt;&gt;"",I123&lt;&gt;"",J123&lt;&gt;"",M123&lt;&gt;"",O123&lt;&gt;"",T123&lt;&gt;""),"COMPLETE","MISSING FIELDS")))</f>
        <v/>
      </c>
    </row>
    <row r="124" ht="15" customHeight="1" s="15">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8">
        <f>IF(A124="","",IF(COUNTIF($A$5:$A$154,A124)&gt;1,"DUPLICATE","UNIQUE"))</f>
        <v/>
      </c>
      <c r="W124" s="28">
        <f>IF(A124="","",IF(T124="Rejected","REJECTED",IF(AND(B124&lt;&gt;"",C124&lt;&gt;"",D124&lt;&gt;"",E124&lt;&gt;"",F124&lt;&gt;"",G124&lt;&gt;"",H124&lt;&gt;"",I124&lt;&gt;"",J124&lt;&gt;"",M124&lt;&gt;"",O124&lt;&gt;"",T124&lt;&gt;""),"COMPLETE","MISSING FIELDS")))</f>
        <v/>
      </c>
    </row>
    <row r="125" ht="15" customHeight="1" s="1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8">
        <f>IF(A125="","",IF(COUNTIF($A$5:$A$154,A125)&gt;1,"DUPLICATE","UNIQUE"))</f>
        <v/>
      </c>
      <c r="W125" s="28">
        <f>IF(A125="","",IF(T125="Rejected","REJECTED",IF(AND(B125&lt;&gt;"",C125&lt;&gt;"",D125&lt;&gt;"",E125&lt;&gt;"",F125&lt;&gt;"",G125&lt;&gt;"",H125&lt;&gt;"",I125&lt;&gt;"",J125&lt;&gt;"",M125&lt;&gt;"",O125&lt;&gt;"",T125&lt;&gt;""),"COMPLETE","MISSING FIELDS")))</f>
        <v/>
      </c>
    </row>
    <row r="126" ht="15" customHeight="1" s="15">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8">
        <f>IF(A126="","",IF(COUNTIF($A$5:$A$154,A126)&gt;1,"DUPLICATE","UNIQUE"))</f>
        <v/>
      </c>
      <c r="W126" s="28">
        <f>IF(A126="","",IF(T126="Rejected","REJECTED",IF(AND(B126&lt;&gt;"",C126&lt;&gt;"",D126&lt;&gt;"",E126&lt;&gt;"",F126&lt;&gt;"",G126&lt;&gt;"",H126&lt;&gt;"",I126&lt;&gt;"",J126&lt;&gt;"",M126&lt;&gt;"",O126&lt;&gt;"",T126&lt;&gt;""),"COMPLETE","MISSING FIELDS")))</f>
        <v/>
      </c>
    </row>
    <row r="127" ht="15" customHeight="1" s="15">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8">
        <f>IF(A127="","",IF(COUNTIF($A$5:$A$154,A127)&gt;1,"DUPLICATE","UNIQUE"))</f>
        <v/>
      </c>
      <c r="W127" s="28">
        <f>IF(A127="","",IF(T127="Rejected","REJECTED",IF(AND(B127&lt;&gt;"",C127&lt;&gt;"",D127&lt;&gt;"",E127&lt;&gt;"",F127&lt;&gt;"",G127&lt;&gt;"",H127&lt;&gt;"",I127&lt;&gt;"",J127&lt;&gt;"",M127&lt;&gt;"",O127&lt;&gt;"",T127&lt;&gt;""),"COMPLETE","MISSING FIELDS")))</f>
        <v/>
      </c>
    </row>
    <row r="128" ht="15" customHeight="1" s="15">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8">
        <f>IF(A128="","",IF(COUNTIF($A$5:$A$154,A128)&gt;1,"DUPLICATE","UNIQUE"))</f>
        <v/>
      </c>
      <c r="W128" s="28">
        <f>IF(A128="","",IF(T128="Rejected","REJECTED",IF(AND(B128&lt;&gt;"",C128&lt;&gt;"",D128&lt;&gt;"",E128&lt;&gt;"",F128&lt;&gt;"",G128&lt;&gt;"",H128&lt;&gt;"",I128&lt;&gt;"",J128&lt;&gt;"",M128&lt;&gt;"",O128&lt;&gt;"",T128&lt;&gt;""),"COMPLETE","MISSING FIELDS")))</f>
        <v/>
      </c>
    </row>
    <row r="129" ht="15" customHeight="1" s="15">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8">
        <f>IF(A129="","",IF(COUNTIF($A$5:$A$154,A129)&gt;1,"DUPLICATE","UNIQUE"))</f>
        <v/>
      </c>
      <c r="W129" s="28">
        <f>IF(A129="","",IF(T129="Rejected","REJECTED",IF(AND(B129&lt;&gt;"",C129&lt;&gt;"",D129&lt;&gt;"",E129&lt;&gt;"",F129&lt;&gt;"",G129&lt;&gt;"",H129&lt;&gt;"",I129&lt;&gt;"",J129&lt;&gt;"",M129&lt;&gt;"",O129&lt;&gt;"",T129&lt;&gt;""),"COMPLETE","MISSING FIELDS")))</f>
        <v/>
      </c>
    </row>
    <row r="130" ht="15" customHeight="1" s="15">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8">
        <f>IF(A130="","",IF(COUNTIF($A$5:$A$154,A130)&gt;1,"DUPLICATE","UNIQUE"))</f>
        <v/>
      </c>
      <c r="W130" s="28">
        <f>IF(A130="","",IF(T130="Rejected","REJECTED",IF(AND(B130&lt;&gt;"",C130&lt;&gt;"",D130&lt;&gt;"",E130&lt;&gt;"",F130&lt;&gt;"",G130&lt;&gt;"",H130&lt;&gt;"",I130&lt;&gt;"",J130&lt;&gt;"",M130&lt;&gt;"",O130&lt;&gt;"",T130&lt;&gt;""),"COMPLETE","MISSING FIELDS")))</f>
        <v/>
      </c>
    </row>
    <row r="131" ht="15" customHeight="1" s="15">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8">
        <f>IF(A131="","",IF(COUNTIF($A$5:$A$154,A131)&gt;1,"DUPLICATE","UNIQUE"))</f>
        <v/>
      </c>
      <c r="W131" s="28">
        <f>IF(A131="","",IF(T131="Rejected","REJECTED",IF(AND(B131&lt;&gt;"",C131&lt;&gt;"",D131&lt;&gt;"",E131&lt;&gt;"",F131&lt;&gt;"",G131&lt;&gt;"",H131&lt;&gt;"",I131&lt;&gt;"",J131&lt;&gt;"",M131&lt;&gt;"",O131&lt;&gt;"",T131&lt;&gt;""),"COMPLETE","MISSING FIELDS")))</f>
        <v/>
      </c>
    </row>
    <row r="132" ht="15" customHeight="1" s="15">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8">
        <f>IF(A132="","",IF(COUNTIF($A$5:$A$154,A132)&gt;1,"DUPLICATE","UNIQUE"))</f>
        <v/>
      </c>
      <c r="W132" s="28">
        <f>IF(A132="","",IF(T132="Rejected","REJECTED",IF(AND(B132&lt;&gt;"",C132&lt;&gt;"",D132&lt;&gt;"",E132&lt;&gt;"",F132&lt;&gt;"",G132&lt;&gt;"",H132&lt;&gt;"",I132&lt;&gt;"",J132&lt;&gt;"",M132&lt;&gt;"",O132&lt;&gt;"",T132&lt;&gt;""),"COMPLETE","MISSING FIELDS")))</f>
        <v/>
      </c>
    </row>
    <row r="133" ht="15" customHeight="1" s="15">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8">
        <f>IF(A133="","",IF(COUNTIF($A$5:$A$154,A133)&gt;1,"DUPLICATE","UNIQUE"))</f>
        <v/>
      </c>
      <c r="W133" s="28">
        <f>IF(A133="","",IF(T133="Rejected","REJECTED",IF(AND(B133&lt;&gt;"",C133&lt;&gt;"",D133&lt;&gt;"",E133&lt;&gt;"",F133&lt;&gt;"",G133&lt;&gt;"",H133&lt;&gt;"",I133&lt;&gt;"",J133&lt;&gt;"",M133&lt;&gt;"",O133&lt;&gt;"",T133&lt;&gt;""),"COMPLETE","MISSING FIELDS")))</f>
        <v/>
      </c>
    </row>
    <row r="134" ht="15" customHeight="1" s="15">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8">
        <f>IF(A134="","",IF(COUNTIF($A$5:$A$154,A134)&gt;1,"DUPLICATE","UNIQUE"))</f>
        <v/>
      </c>
      <c r="W134" s="28">
        <f>IF(A134="","",IF(T134="Rejected","REJECTED",IF(AND(B134&lt;&gt;"",C134&lt;&gt;"",D134&lt;&gt;"",E134&lt;&gt;"",F134&lt;&gt;"",G134&lt;&gt;"",H134&lt;&gt;"",I134&lt;&gt;"",J134&lt;&gt;"",M134&lt;&gt;"",O134&lt;&gt;"",T134&lt;&gt;""),"COMPLETE","MISSING FIELDS")))</f>
        <v/>
      </c>
    </row>
    <row r="135" ht="15" customHeight="1" s="1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8">
        <f>IF(A135="","",IF(COUNTIF($A$5:$A$154,A135)&gt;1,"DUPLICATE","UNIQUE"))</f>
        <v/>
      </c>
      <c r="W135" s="28">
        <f>IF(A135="","",IF(T135="Rejected","REJECTED",IF(AND(B135&lt;&gt;"",C135&lt;&gt;"",D135&lt;&gt;"",E135&lt;&gt;"",F135&lt;&gt;"",G135&lt;&gt;"",H135&lt;&gt;"",I135&lt;&gt;"",J135&lt;&gt;"",M135&lt;&gt;"",O135&lt;&gt;"",T135&lt;&gt;""),"COMPLETE","MISSING FIELDS")))</f>
        <v/>
      </c>
    </row>
    <row r="136" ht="15" customHeight="1" s="15">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8">
        <f>IF(A136="","",IF(COUNTIF($A$5:$A$154,A136)&gt;1,"DUPLICATE","UNIQUE"))</f>
        <v/>
      </c>
      <c r="W136" s="28">
        <f>IF(A136="","",IF(T136="Rejected","REJECTED",IF(AND(B136&lt;&gt;"",C136&lt;&gt;"",D136&lt;&gt;"",E136&lt;&gt;"",F136&lt;&gt;"",G136&lt;&gt;"",H136&lt;&gt;"",I136&lt;&gt;"",J136&lt;&gt;"",M136&lt;&gt;"",O136&lt;&gt;"",T136&lt;&gt;""),"COMPLETE","MISSING FIELDS")))</f>
        <v/>
      </c>
    </row>
    <row r="137" ht="15" customHeight="1" s="15">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8">
        <f>IF(A137="","",IF(COUNTIF($A$5:$A$154,A137)&gt;1,"DUPLICATE","UNIQUE"))</f>
        <v/>
      </c>
      <c r="W137" s="28">
        <f>IF(A137="","",IF(T137="Rejected","REJECTED",IF(AND(B137&lt;&gt;"",C137&lt;&gt;"",D137&lt;&gt;"",E137&lt;&gt;"",F137&lt;&gt;"",G137&lt;&gt;"",H137&lt;&gt;"",I137&lt;&gt;"",J137&lt;&gt;"",M137&lt;&gt;"",O137&lt;&gt;"",T137&lt;&gt;""),"COMPLETE","MISSING FIELDS")))</f>
        <v/>
      </c>
    </row>
    <row r="138" ht="15" customHeight="1" s="15">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8">
        <f>IF(A138="","",IF(COUNTIF($A$5:$A$154,A138)&gt;1,"DUPLICATE","UNIQUE"))</f>
        <v/>
      </c>
      <c r="W138" s="28">
        <f>IF(A138="","",IF(T138="Rejected","REJECTED",IF(AND(B138&lt;&gt;"",C138&lt;&gt;"",D138&lt;&gt;"",E138&lt;&gt;"",F138&lt;&gt;"",G138&lt;&gt;"",H138&lt;&gt;"",I138&lt;&gt;"",J138&lt;&gt;"",M138&lt;&gt;"",O138&lt;&gt;"",T138&lt;&gt;""),"COMPLETE","MISSING FIELDS")))</f>
        <v/>
      </c>
    </row>
    <row r="139" ht="15" customHeight="1" s="15">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8">
        <f>IF(A139="","",IF(COUNTIF($A$5:$A$154,A139)&gt;1,"DUPLICATE","UNIQUE"))</f>
        <v/>
      </c>
      <c r="W139" s="28">
        <f>IF(A139="","",IF(T139="Rejected","REJECTED",IF(AND(B139&lt;&gt;"",C139&lt;&gt;"",D139&lt;&gt;"",E139&lt;&gt;"",F139&lt;&gt;"",G139&lt;&gt;"",H139&lt;&gt;"",I139&lt;&gt;"",J139&lt;&gt;"",M139&lt;&gt;"",O139&lt;&gt;"",T139&lt;&gt;""),"COMPLETE","MISSING FIELDS")))</f>
        <v/>
      </c>
    </row>
    <row r="140" ht="15" customHeight="1" s="15">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8">
        <f>IF(A140="","",IF(COUNTIF($A$5:$A$154,A140)&gt;1,"DUPLICATE","UNIQUE"))</f>
        <v/>
      </c>
      <c r="W140" s="28">
        <f>IF(A140="","",IF(T140="Rejected","REJECTED",IF(AND(B140&lt;&gt;"",C140&lt;&gt;"",D140&lt;&gt;"",E140&lt;&gt;"",F140&lt;&gt;"",G140&lt;&gt;"",H140&lt;&gt;"",I140&lt;&gt;"",J140&lt;&gt;"",M140&lt;&gt;"",O140&lt;&gt;"",T140&lt;&gt;""),"COMPLETE","MISSING FIELDS")))</f>
        <v/>
      </c>
    </row>
    <row r="141" ht="15" customHeight="1" s="15">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8">
        <f>IF(A141="","",IF(COUNTIF($A$5:$A$154,A141)&gt;1,"DUPLICATE","UNIQUE"))</f>
        <v/>
      </c>
      <c r="W141" s="28">
        <f>IF(A141="","",IF(T141="Rejected","REJECTED",IF(AND(B141&lt;&gt;"",C141&lt;&gt;"",D141&lt;&gt;"",E141&lt;&gt;"",F141&lt;&gt;"",G141&lt;&gt;"",H141&lt;&gt;"",I141&lt;&gt;"",J141&lt;&gt;"",M141&lt;&gt;"",O141&lt;&gt;"",T141&lt;&gt;""),"COMPLETE","MISSING FIELDS")))</f>
        <v/>
      </c>
    </row>
    <row r="142" ht="15" customHeight="1" s="15">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8">
        <f>IF(A142="","",IF(COUNTIF($A$5:$A$154,A142)&gt;1,"DUPLICATE","UNIQUE"))</f>
        <v/>
      </c>
      <c r="W142" s="28">
        <f>IF(A142="","",IF(T142="Rejected","REJECTED",IF(AND(B142&lt;&gt;"",C142&lt;&gt;"",D142&lt;&gt;"",E142&lt;&gt;"",F142&lt;&gt;"",G142&lt;&gt;"",H142&lt;&gt;"",I142&lt;&gt;"",J142&lt;&gt;"",M142&lt;&gt;"",O142&lt;&gt;"",T142&lt;&gt;""),"COMPLETE","MISSING FIELDS")))</f>
        <v/>
      </c>
    </row>
    <row r="143" ht="15" customHeight="1" s="15">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8">
        <f>IF(A143="","",IF(COUNTIF($A$5:$A$154,A143)&gt;1,"DUPLICATE","UNIQUE"))</f>
        <v/>
      </c>
      <c r="W143" s="28">
        <f>IF(A143="","",IF(T143="Rejected","REJECTED",IF(AND(B143&lt;&gt;"",C143&lt;&gt;"",D143&lt;&gt;"",E143&lt;&gt;"",F143&lt;&gt;"",G143&lt;&gt;"",H143&lt;&gt;"",I143&lt;&gt;"",J143&lt;&gt;"",M143&lt;&gt;"",O143&lt;&gt;"",T143&lt;&gt;""),"COMPLETE","MISSING FIELDS")))</f>
        <v/>
      </c>
    </row>
    <row r="144" ht="15" customHeight="1" s="15">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8">
        <f>IF(A144="","",IF(COUNTIF($A$5:$A$154,A144)&gt;1,"DUPLICATE","UNIQUE"))</f>
        <v/>
      </c>
      <c r="W144" s="28">
        <f>IF(A144="","",IF(T144="Rejected","REJECTED",IF(AND(B144&lt;&gt;"",C144&lt;&gt;"",D144&lt;&gt;"",E144&lt;&gt;"",F144&lt;&gt;"",G144&lt;&gt;"",H144&lt;&gt;"",I144&lt;&gt;"",J144&lt;&gt;"",M144&lt;&gt;"",O144&lt;&gt;"",T144&lt;&gt;""),"COMPLETE","MISSING FIELDS")))</f>
        <v/>
      </c>
    </row>
    <row r="145" ht="15" customHeight="1" s="1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8">
        <f>IF(A145="","",IF(COUNTIF($A$5:$A$154,A145)&gt;1,"DUPLICATE","UNIQUE"))</f>
        <v/>
      </c>
      <c r="W145" s="28">
        <f>IF(A145="","",IF(T145="Rejected","REJECTED",IF(AND(B145&lt;&gt;"",C145&lt;&gt;"",D145&lt;&gt;"",E145&lt;&gt;"",F145&lt;&gt;"",G145&lt;&gt;"",H145&lt;&gt;"",I145&lt;&gt;"",J145&lt;&gt;"",M145&lt;&gt;"",O145&lt;&gt;"",T145&lt;&gt;""),"COMPLETE","MISSING FIELDS")))</f>
        <v/>
      </c>
    </row>
    <row r="146" ht="15" customHeight="1" s="15">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8">
        <f>IF(A146="","",IF(COUNTIF($A$5:$A$154,A146)&gt;1,"DUPLICATE","UNIQUE"))</f>
        <v/>
      </c>
      <c r="W146" s="28">
        <f>IF(A146="","",IF(T146="Rejected","REJECTED",IF(AND(B146&lt;&gt;"",C146&lt;&gt;"",D146&lt;&gt;"",E146&lt;&gt;"",F146&lt;&gt;"",G146&lt;&gt;"",H146&lt;&gt;"",I146&lt;&gt;"",J146&lt;&gt;"",M146&lt;&gt;"",O146&lt;&gt;"",T146&lt;&gt;""),"COMPLETE","MISSING FIELDS")))</f>
        <v/>
      </c>
    </row>
    <row r="147" ht="15" customHeight="1" s="15">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8">
        <f>IF(A147="","",IF(COUNTIF($A$5:$A$154,A147)&gt;1,"DUPLICATE","UNIQUE"))</f>
        <v/>
      </c>
      <c r="W147" s="28">
        <f>IF(A147="","",IF(T147="Rejected","REJECTED",IF(AND(B147&lt;&gt;"",C147&lt;&gt;"",D147&lt;&gt;"",E147&lt;&gt;"",F147&lt;&gt;"",G147&lt;&gt;"",H147&lt;&gt;"",I147&lt;&gt;"",J147&lt;&gt;"",M147&lt;&gt;"",O147&lt;&gt;"",T147&lt;&gt;""),"COMPLETE","MISSING FIELDS")))</f>
        <v/>
      </c>
    </row>
    <row r="148" ht="15" customHeight="1" s="15">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8">
        <f>IF(A148="","",IF(COUNTIF($A$5:$A$154,A148)&gt;1,"DUPLICATE","UNIQUE"))</f>
        <v/>
      </c>
      <c r="W148" s="28">
        <f>IF(A148="","",IF(T148="Rejected","REJECTED",IF(AND(B148&lt;&gt;"",C148&lt;&gt;"",D148&lt;&gt;"",E148&lt;&gt;"",F148&lt;&gt;"",G148&lt;&gt;"",H148&lt;&gt;"",I148&lt;&gt;"",J148&lt;&gt;"",M148&lt;&gt;"",O148&lt;&gt;"",T148&lt;&gt;""),"COMPLETE","MISSING FIELDS")))</f>
        <v/>
      </c>
    </row>
    <row r="149" ht="15" customHeight="1" s="15">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8">
        <f>IF(A149="","",IF(COUNTIF($A$5:$A$154,A149)&gt;1,"DUPLICATE","UNIQUE"))</f>
        <v/>
      </c>
      <c r="W149" s="28">
        <f>IF(A149="","",IF(T149="Rejected","REJECTED",IF(AND(B149&lt;&gt;"",C149&lt;&gt;"",D149&lt;&gt;"",E149&lt;&gt;"",F149&lt;&gt;"",G149&lt;&gt;"",H149&lt;&gt;"",I149&lt;&gt;"",J149&lt;&gt;"",M149&lt;&gt;"",O149&lt;&gt;"",T149&lt;&gt;""),"COMPLETE","MISSING FIELDS")))</f>
        <v/>
      </c>
    </row>
    <row r="150" ht="15" customHeight="1" s="15">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8">
        <f>IF(A150="","",IF(COUNTIF($A$5:$A$154,A150)&gt;1,"DUPLICATE","UNIQUE"))</f>
        <v/>
      </c>
      <c r="W150" s="28">
        <f>IF(A150="","",IF(T150="Rejected","REJECTED",IF(AND(B150&lt;&gt;"",C150&lt;&gt;"",D150&lt;&gt;"",E150&lt;&gt;"",F150&lt;&gt;"",G150&lt;&gt;"",H150&lt;&gt;"",I150&lt;&gt;"",J150&lt;&gt;"",M150&lt;&gt;"",O150&lt;&gt;"",T150&lt;&gt;""),"COMPLETE","MISSING FIELDS")))</f>
        <v/>
      </c>
    </row>
    <row r="151" ht="15" customHeight="1" s="15">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8">
        <f>IF(A151="","",IF(COUNTIF($A$5:$A$154,A151)&gt;1,"DUPLICATE","UNIQUE"))</f>
        <v/>
      </c>
      <c r="W151" s="28">
        <f>IF(A151="","",IF(T151="Rejected","REJECTED",IF(AND(B151&lt;&gt;"",C151&lt;&gt;"",D151&lt;&gt;"",E151&lt;&gt;"",F151&lt;&gt;"",G151&lt;&gt;"",H151&lt;&gt;"",I151&lt;&gt;"",J151&lt;&gt;"",M151&lt;&gt;"",O151&lt;&gt;"",T151&lt;&gt;""),"COMPLETE","MISSING FIELDS")))</f>
        <v/>
      </c>
    </row>
    <row r="152" ht="15" customHeight="1" s="15">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8">
        <f>IF(A152="","",IF(COUNTIF($A$5:$A$154,A152)&gt;1,"DUPLICATE","UNIQUE"))</f>
        <v/>
      </c>
      <c r="W152" s="28">
        <f>IF(A152="","",IF(T152="Rejected","REJECTED",IF(AND(B152&lt;&gt;"",C152&lt;&gt;"",D152&lt;&gt;"",E152&lt;&gt;"",F152&lt;&gt;"",G152&lt;&gt;"",H152&lt;&gt;"",I152&lt;&gt;"",J152&lt;&gt;"",M152&lt;&gt;"",O152&lt;&gt;"",T152&lt;&gt;""),"COMPLETE","MISSING FIELDS")))</f>
        <v/>
      </c>
    </row>
    <row r="153" ht="15" customHeight="1" s="15">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8">
        <f>IF(A153="","",IF(COUNTIF($A$5:$A$154,A153)&gt;1,"DUPLICATE","UNIQUE"))</f>
        <v/>
      </c>
      <c r="W153" s="28">
        <f>IF(A153="","",IF(T153="Rejected","REJECTED",IF(AND(B153&lt;&gt;"",C153&lt;&gt;"",D153&lt;&gt;"",E153&lt;&gt;"",F153&lt;&gt;"",G153&lt;&gt;"",H153&lt;&gt;"",I153&lt;&gt;"",J153&lt;&gt;"",M153&lt;&gt;"",O153&lt;&gt;"",T153&lt;&gt;""),"COMPLETE","MISSING FIELDS")))</f>
        <v/>
      </c>
    </row>
    <row r="154" ht="15" customHeight="1" s="15">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8">
        <f>IF(A154="","",IF(COUNTIF($A$5:$A$154,A154)&gt;1,"DUPLICATE","UNIQUE"))</f>
        <v/>
      </c>
      <c r="W154" s="28">
        <f>IF(A154="","",IF(T154="Rejected","REJECTED",IF(AND(B154&lt;&gt;"",C154&lt;&gt;"",D154&lt;&gt;"",E154&lt;&gt;"",F154&lt;&gt;"",G154&lt;&gt;"",H154&lt;&gt;"",I154&lt;&gt;"",J154&lt;&gt;"",M154&lt;&gt;"",O154&lt;&gt;"",T154&lt;&gt;""),"COMPLETE","MISSING FIELDS")))</f>
        <v/>
      </c>
    </row>
  </sheetData>
  <mergeCells count="2">
    <mergeCell ref="A2:W2"/>
    <mergeCell ref="A1:W1"/>
  </mergeCells>
  <conditionalFormatting sqref="V5:W154">
    <cfRule type="expression" rank="0" priority="2" equalAverage="0" aboveAverage="0" dxfId="0" text="" percent="0" bottom="0">
      <formula>OR(V5="DUPLICATE",W5="MISSING FIELDS",W5="ADD REASON")</formula>
    </cfRule>
  </conditionalFormatting>
  <dataValidations count="5">
    <dataValidation sqref="B5:B154" showDropDown="0" showInputMessage="0" showErrorMessage="0" allowBlank="1" type="list" errorStyle="stop" operator="between">
      <formula1>"LinkedIn,Instagram,YouTube Shorts,TikTok,X,Threads,Facebook,Reddit"</formula1>
      <formula2>0</formula2>
    </dataValidation>
    <dataValidation sqref="C5:C154" showDropDown="0" showInputMessage="0" showErrorMessage="0" allowBlank="1" type="list" errorStyle="stop" operator="between">
      <formula1>"Short video,Carousel,Graphic,Text post,Thread,Long video"</formula1>
      <formula2>0</formula2>
    </dataValidation>
    <dataValidation sqref="M5:M154" showDropDown="0" showInputMessage="0" showErrorMessage="0" allowBlank="1" type="list" errorStyle="stop" operator="between">
      <formula1>"Yes,No"</formula1>
      <formula2>0</formula2>
    </dataValidation>
    <dataValidation sqref="N5:N154" showDropDown="0" showInputMessage="0" showErrorMessage="0" allowBlank="1" type="list" errorStyle="stop" operator="between">
      <formula1>"Yes,No"</formula1>
      <formula2>0</formula2>
    </dataValidation>
    <dataValidation sqref="T5:T15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15" customHeight="1" s="15">
      <c r="A6" s="24" t="inlineStr">
        <is>
          <t>One clear run command in the README</t>
        </is>
      </c>
      <c r="B6" s="23" t="inlineStr">
        <is>
          <t>Yes</t>
        </is>
      </c>
      <c r="C6" s="23" t="inlineStr">
        <is>
          <t>README.md#running-the-engine</t>
        </is>
      </c>
      <c r="H6" s="23" t="inlineStr">
        <is>
          <t>python src/main.py --input &lt;path&gt; --count 10</t>
        </is>
      </c>
    </row>
    <row r="7" ht="15" customHeight="1" s="15">
      <c r="A7" s="24" t="inlineStr">
        <is>
          <t>Works on a fresh machine or account</t>
        </is>
      </c>
      <c r="B7" s="23" t="inlineStr">
        <is>
          <t>Yes</t>
        </is>
      </c>
      <c r="C7" s="23" t="inlineStr">
        <is>
          <t>README.md#fresh-machine-setup</t>
        </is>
      </c>
      <c r="H7" s="23" t="inlineStr">
        <is>
          <t>Runs cleanly with virtualenv and requirements.txt</t>
        </is>
      </c>
    </row>
    <row r="8" ht="15" customHeight="1" s="15">
      <c r="A8" s="24" t="inlineStr">
        <is>
          <t>Removes duplicates</t>
        </is>
      </c>
      <c r="B8" s="23" t="inlineStr">
        <is>
          <t>Yes</t>
        </is>
      </c>
      <c r="C8" s="23" t="inlineStr">
        <is>
          <t>tests/test_deduplicator.py</t>
        </is>
      </c>
      <c r="H8" s="23" t="inlineStr">
        <is>
          <t>SHA256 and token Jaccard similarity filter duplicates</t>
        </is>
      </c>
    </row>
    <row r="9" ht="15" customHeight="1" s="15">
      <c r="A9" s="24" t="inlineStr">
        <is>
          <t>Quality checks before export</t>
        </is>
      </c>
      <c r="B9" s="23" t="inlineStr">
        <is>
          <t>Yes</t>
        </is>
      </c>
      <c r="C9" s="23" t="inlineStr">
        <is>
          <t>tests/test_validator.py</t>
        </is>
      </c>
      <c r="H9" s="23" t="inlineStr">
        <is>
          <t>Checks forbidden phrases, required fields, and duration limits</t>
        </is>
      </c>
    </row>
    <row r="10" ht="15" customHeight="1" s="15">
      <c r="A10" s="24" t="inlineStr">
        <is>
          <t>Clean export in the official format</t>
        </is>
      </c>
      <c r="B10" s="23" t="inlineStr">
        <is>
          <t>Yes</t>
        </is>
      </c>
      <c r="C10" s="23" t="inlineStr">
        <is>
          <t>data/outputs/calendar.csv</t>
        </is>
      </c>
      <c r="H10" s="23" t="inlineStr">
        <is>
          <t>Matches all 23 official workbook columns</t>
        </is>
      </c>
    </row>
    <row r="11" ht="23.85" customHeight="1" s="15">
      <c r="A11" s="24" t="inlineStr">
        <is>
          <t>Refresh updates existing items without duplicates</t>
        </is>
      </c>
      <c r="B11" s="23" t="inlineStr">
        <is>
          <t>Yes</t>
        </is>
      </c>
      <c r="C11" s="23" t="inlineStr">
        <is>
          <t>src/pipeline.py</t>
        </is>
      </c>
      <c r="H11" s="23" t="inlineStr">
        <is>
          <t>Refresh pipeline processes new inputs without duplicate collisions</t>
        </is>
      </c>
    </row>
    <row r="12" ht="15" customHeight="1" s="15">
      <c r="A12" s="24" t="inlineStr">
        <is>
          <t>Logs errors and recovers from a simple failure</t>
        </is>
      </c>
      <c r="B12" s="23" t="inlineStr">
        <is>
          <t>Yes</t>
        </is>
      </c>
      <c r="C12" s="23" t="inlineStr">
        <is>
          <t>tests/test_pipeline.py#test_pipeline_failure_recovery</t>
        </is>
      </c>
      <c r="H12" s="23" t="inlineStr">
        <is>
          <t>Recovers gracefully from transient 503 network timeouts</t>
        </is>
      </c>
    </row>
    <row r="13" ht="15" customHeight="1" s="15">
      <c r="A13" s="24" t="inlineStr">
        <is>
          <t>Tests included</t>
        </is>
      </c>
      <c r="B13" s="23" t="inlineStr">
        <is>
          <t>Yes</t>
        </is>
      </c>
      <c r="C13" s="23" t="inlineStr">
        <is>
          <t>tests/</t>
        </is>
      </c>
      <c r="H13" s="23" t="inlineStr">
        <is>
          <t>13 automated unit tests passing 100%</t>
        </is>
      </c>
    </row>
    <row r="14" ht="15" customHeight="1" s="15">
      <c r="A14" s="24" t="inlineStr">
        <is>
          <t>No secrets in the repository</t>
        </is>
      </c>
      <c r="B14" s="23" t="inlineStr">
        <is>
          <t>Yes</t>
        </is>
      </c>
      <c r="C14" s="23" t="inlineStr">
        <is>
          <t>.gitignore</t>
        </is>
      </c>
      <c r="H14" s="23" t="inlineStr">
        <is>
          <t>No secrets committed; .env protected locally</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15" customHeight="1" s="15">
      <c r="A18" s="22" t="inlineStr">
        <is>
          <t>Normal run</t>
        </is>
      </c>
      <c r="B18" s="23" t="inlineStr">
        <is>
          <t>850 words (Case study)</t>
        </is>
      </c>
      <c r="C18" s="23" t="n">
        <v>10</v>
      </c>
      <c r="D18" s="23" t="n">
        <v>0</v>
      </c>
      <c r="E18" s="23" t="n">
        <v>0</v>
      </c>
      <c r="F18" s="23" t="inlineStr">
        <is>
          <t>1.8 min</t>
        </is>
      </c>
      <c r="G18" s="23" t="inlineStr">
        <is>
          <t>$0.0018</t>
        </is>
      </c>
      <c r="H18" s="23" t="inlineStr">
        <is>
          <t>README.md#benchmark-results</t>
        </is>
      </c>
    </row>
    <row r="19" ht="15" customHeight="1" s="15">
      <c r="A19" s="22" t="inlineStr">
        <is>
          <t>Repeat run (same input)</t>
        </is>
      </c>
      <c r="B19" s="23" t="n"/>
      <c r="C19" s="23" t="n"/>
      <c r="D19" s="23" t="n"/>
      <c r="E19" s="23" t="n"/>
      <c r="F19" s="23" t="n"/>
      <c r="G19" s="23" t="n"/>
      <c r="H19" s="23" t="n"/>
    </row>
    <row r="20" ht="15" customHeight="1" s="15">
      <c r="A20" s="22" t="inlineStr">
        <is>
          <t>Refresh (new input)</t>
        </is>
      </c>
      <c r="B20" s="23" t="n"/>
      <c r="C20" s="23" t="n"/>
      <c r="D20" s="23" t="n"/>
      <c r="E20" s="23" t="n"/>
      <c r="F20" s="23" t="n"/>
      <c r="G20" s="23" t="n"/>
      <c r="H20" s="23" t="n"/>
    </row>
    <row r="21" ht="15" customHeight="1" s="15">
      <c r="A21" s="22" t="inlineStr">
        <is>
          <t>Failure and recovery</t>
        </is>
      </c>
      <c r="B21" s="23" t="n"/>
      <c r="C21" s="23" t="n"/>
      <c r="D21" s="23" t="n"/>
      <c r="E21" s="23" t="n"/>
      <c r="F21" s="23" t="n"/>
      <c r="G21" s="23" t="n"/>
      <c r="H21" s="23" t="n"/>
    </row>
    <row r="23" ht="15" customHeight="1" s="15">
      <c r="A23" s="20" t="inlineStr">
        <is>
          <t>C. Launch kit summary</t>
        </is>
      </c>
      <c r="B23" s="17" t="n"/>
      <c r="C23" s="17" t="n"/>
      <c r="D23" s="17" t="n"/>
      <c r="E23" s="17" t="n"/>
      <c r="F23" s="17" t="n"/>
      <c r="G23" s="17" t="n"/>
      <c r="H23" s="18" t="n"/>
    </row>
    <row r="24" ht="30" customHeight="1" s="15">
      <c r="A24" s="22" t="inlineStr">
        <is>
          <t>Who exactly we target first</t>
        </is>
      </c>
      <c r="B24" s="23" t="n"/>
      <c r="C24" s="17" t="n"/>
      <c r="D24" s="17" t="n"/>
      <c r="E24" s="17" t="n"/>
      <c r="F24" s="17" t="n"/>
      <c r="G24" s="17" t="n"/>
      <c r="H24" s="18" t="n"/>
    </row>
    <row r="25" ht="30" customHeight="1" s="15">
      <c r="A25" s="22" t="inlineStr">
        <is>
          <t>Channels / platforms and why</t>
        </is>
      </c>
      <c r="B25" s="23" t="n"/>
      <c r="C25" s="17" t="n"/>
      <c r="D25" s="17" t="n"/>
      <c r="E25" s="17" t="n"/>
      <c r="F25" s="17" t="n"/>
      <c r="G25" s="17" t="n"/>
      <c r="H25" s="18" t="n"/>
    </row>
    <row r="26" ht="30" customHeight="1" s="15">
      <c r="A26" s="22" t="inlineStr">
        <is>
          <t>Week 1 actions (owner, tool, volume)</t>
        </is>
      </c>
      <c r="B26" s="23" t="n"/>
      <c r="C26" s="17" t="n"/>
      <c r="D26" s="17" t="n"/>
      <c r="E26" s="17" t="n"/>
      <c r="F26" s="17" t="n"/>
      <c r="G26" s="17" t="n"/>
      <c r="H26" s="18" t="n"/>
    </row>
    <row r="27" ht="30" customHeight="1" s="15">
      <c r="A27" s="22" t="inlineStr">
        <is>
          <t>Weeks 2-4 actions</t>
        </is>
      </c>
      <c r="B27" s="23" t="n"/>
      <c r="C27" s="17" t="n"/>
      <c r="D27" s="17" t="n"/>
      <c r="E27" s="17" t="n"/>
      <c r="F27" s="17" t="n"/>
      <c r="G27" s="17" t="n"/>
      <c r="H27" s="18" t="n"/>
    </row>
    <row r="28" ht="30" customHeight="1" s="15">
      <c r="A28" s="22" t="inlineStr">
        <is>
          <t>Tools and monthly cost</t>
        </is>
      </c>
      <c r="B28" s="23" t="n"/>
      <c r="C28" s="17" t="n"/>
      <c r="D28" s="17" t="n"/>
      <c r="E28" s="17" t="n"/>
      <c r="F28" s="17" t="n"/>
      <c r="G28" s="17" t="n"/>
      <c r="H28" s="18" t="n"/>
    </row>
    <row r="29" ht="30" customHeight="1" s="15">
      <c r="A29" s="22" t="inlineStr">
        <is>
          <t>Targets after 30 days (numbers)</t>
        </is>
      </c>
      <c r="B29" s="23" t="n"/>
      <c r="C29" s="17" t="n"/>
      <c r="D29" s="17" t="n"/>
      <c r="E29" s="17" t="n"/>
      <c r="F29" s="17" t="n"/>
      <c r="G29" s="17" t="n"/>
      <c r="H29" s="18" t="n"/>
    </row>
    <row r="30" ht="30" customHeight="1" s="15">
      <c r="A30" s="22" t="inlineStr">
        <is>
          <t>Biggest risk and how to handle it</t>
        </is>
      </c>
      <c r="B30" s="23" t="n"/>
      <c r="C30" s="17" t="n"/>
      <c r="D30" s="17" t="n"/>
      <c r="E30" s="17" t="n"/>
      <c r="F30" s="17" t="n"/>
      <c r="G30" s="17" t="n"/>
      <c r="H30" s="18" t="n"/>
    </row>
    <row r="31" ht="30" customHeight="1" s="15">
      <c r="A31" s="22" t="inlineStr">
        <is>
          <t>What IncuBrix must provide (accounts, access, budget)</t>
        </is>
      </c>
      <c r="B31" s="23" t="n"/>
      <c r="C31" s="17" t="n"/>
      <c r="D31" s="17" t="n"/>
      <c r="E31" s="17" t="n"/>
      <c r="F31" s="17" t="n"/>
      <c r="G31" s="17" t="n"/>
      <c r="H31" s="18" t="n"/>
    </row>
  </sheetData>
  <mergeCells count="13">
    <mergeCell ref="A1:H1"/>
    <mergeCell ref="A4:H4"/>
    <mergeCell ref="B28:H28"/>
    <mergeCell ref="B26:H26"/>
    <mergeCell ref="B27:H27"/>
    <mergeCell ref="A2:H2"/>
    <mergeCell ref="A16:H16"/>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15" customHeight="1" s="15">
      <c r="A6" s="24" t="inlineStr">
        <is>
          <t>Ready-to-publish assets</t>
        </is>
      </c>
      <c r="B6" s="25" t="inlineStr">
        <is>
          <t>&gt;= 30</t>
        </is>
      </c>
      <c r="C6" s="23" t="n">
        <v>30</v>
      </c>
      <c r="D6" s="29">
        <f>COUNTIF(02_ASSETS!T5:T154,"Ready")</f>
        <v/>
      </c>
      <c r="E6" s="23" t="inlineStr">
        <is>
          <t>workbook/IncuBrix_Submission_Workbook.xlsx#02_ASSETS</t>
        </is>
      </c>
      <c r="F6" s="26">
        <f>IF(C6="","",IF(C6&gt;=30,"MET","NOT MET"))</f>
        <v/>
      </c>
    </row>
    <row r="7" ht="15" customHeight="1" s="15">
      <c r="A7" s="24" t="inlineStr">
        <is>
          <t>Platforms covered</t>
        </is>
      </c>
      <c r="B7" s="25" t="inlineStr">
        <is>
          <t>&gt;= 3</t>
        </is>
      </c>
      <c r="C7" s="23" t="n">
        <v>3</v>
      </c>
      <c r="D7" s="29" t="inlineStr">
        <is>
          <t>-</t>
        </is>
      </c>
      <c r="E7" s="23" t="inlineStr">
        <is>
          <t>docs/03_growth_strategy.md#platform-selection</t>
        </is>
      </c>
      <c r="F7" s="26">
        <f>IF(C7="","",IF(C7&gt;=3,"MET","NOT MET"))</f>
        <v/>
      </c>
    </row>
    <row r="8" ht="15" customHeight="1" s="15">
      <c r="A8" s="24" t="inlineStr">
        <is>
          <t>Short videos (60 s or less)</t>
        </is>
      </c>
      <c r="B8" s="25" t="inlineStr">
        <is>
          <t>&gt;= 10</t>
        </is>
      </c>
      <c r="C8" s="23" t="n">
        <v>10</v>
      </c>
      <c r="D8" s="29">
        <f>COUNTIFS(02_ASSETS!C5:C154,"Short video",02_ASSETS!T5:T154,"Ready")</f>
        <v/>
      </c>
      <c r="E8" s="23" t="inlineStr">
        <is>
          <t>assets/final/videos/</t>
        </is>
      </c>
      <c r="F8" s="26">
        <f>IF(C8="","",IF(C8&gt;=10,"MET","NOT MET"))</f>
        <v/>
      </c>
    </row>
    <row r="9" ht="15" customHeight="1" s="15">
      <c r="A9" s="24" t="inlineStr">
        <is>
          <t>Carousels or graphics</t>
        </is>
      </c>
      <c r="B9" s="25" t="inlineStr">
        <is>
          <t>&gt;= 5</t>
        </is>
      </c>
      <c r="C9" s="23" t="n">
        <v>20</v>
      </c>
      <c r="D9" s="29">
        <f>COUNTIFS(02_ASSETS!C5:C154,"Carousel",02_ASSETS!T5:T154,"Ready")+COUNTIFS(02_ASSETS!C5:C154,"Graphic",02_ASSETS!T5:T154,"Ready")</f>
        <v/>
      </c>
      <c r="E9" s="23" t="inlineStr">
        <is>
          <t>assets/final/carousels/ and assets/final/graphics/</t>
        </is>
      </c>
      <c r="F9" s="26">
        <f>IF(C9="","",IF(C9&gt;=5,"MET","NOT MET"))</f>
        <v/>
      </c>
    </row>
    <row r="10" ht="15" customHeight="1" s="15">
      <c r="A10" s="24" t="inlineStr">
        <is>
          <t>Rights issues</t>
        </is>
      </c>
      <c r="B10" s="25" t="inlineStr">
        <is>
          <t>0</t>
        </is>
      </c>
      <c r="C10" s="23" t="n">
        <v>0</v>
      </c>
      <c r="D10" s="29">
        <f>COUNTIF(02_ASSETS!M5:M154,"No")</f>
        <v/>
      </c>
      <c r="E10" s="23" t="inlineStr">
        <is>
          <t>docs/05_quality_audit.md#rights-audit</t>
        </is>
      </c>
      <c r="F10" s="26">
        <f>IF(C10="","",IF(C10=0,"MET","NOT MET"))</f>
        <v/>
      </c>
    </row>
    <row r="11" ht="15" customHeight="1" s="15">
      <c r="A11" s="24" t="inlineStr">
        <is>
          <t>Engine makes 10+ assets from one input in under 30 minutes</t>
        </is>
      </c>
      <c r="B11" s="25" t="inlineStr">
        <is>
          <t>Yes</t>
        </is>
      </c>
      <c r="C11" s="23" t="inlineStr">
        <is>
          <t>Yes</t>
        </is>
      </c>
      <c r="D11" s="29" t="inlineStr">
        <is>
          <t>-</t>
        </is>
      </c>
      <c r="E11" s="23" t="inlineStr">
        <is>
          <t>tests/test_pipeline.py and README.md#runtime-benchmarks</t>
        </is>
      </c>
      <c r="F11" s="26">
        <f>IF(C11="","",IF(C11="Yes","MET","NOT MET"))</f>
        <v/>
      </c>
    </row>
    <row r="12" ht="23.85" customHeight="1" s="15">
      <c r="A12" s="24" t="inlineStr">
        <is>
          <t>Real-audience test completed (10 posts over 5 days, or 20-person test)</t>
        </is>
      </c>
      <c r="B12" s="25" t="inlineStr">
        <is>
          <t>Yes</t>
        </is>
      </c>
      <c r="C12" s="23" t="inlineStr">
        <is>
          <t>Yes</t>
        </is>
      </c>
      <c r="D12" s="29" t="inlineStr">
        <is>
          <t>-</t>
        </is>
      </c>
      <c r="E12" s="23" t="inlineStr">
        <is>
          <t>docs/04_audience_experiment.md</t>
        </is>
      </c>
      <c r="F12" s="26">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30" customHeight="1" s="15">
      <c r="A17" s="24" t="inlineStr">
        <is>
          <t>60 ready assets, including at least 20 videos, with at least 90% passing our audit.</t>
        </is>
      </c>
      <c r="B17" s="23" t="n"/>
      <c r="C17" s="23" t="n"/>
      <c r="E17" s="23" t="n"/>
    </row>
    <row r="18" ht="30" customHeight="1" s="15">
      <c r="A18" s="24" t="inlineStr">
        <is>
          <t>The real-audience test beats a stated, sourced benchmark for engagement or preference.</t>
        </is>
      </c>
      <c r="B18" s="23" t="n"/>
      <c r="C18" s="23" t="n"/>
      <c r="E18" s="23" t="n"/>
    </row>
    <row r="19" ht="30" customHeight="1" s="15">
      <c r="A19" s="24" t="inlineStr">
        <is>
          <t>The engine produces a full week (at least 20 assets) from one input in under 30 minutes, with cost documented.</t>
        </is>
      </c>
      <c r="B19" s="23" t="n"/>
      <c r="C19" s="23" t="n"/>
      <c r="E19" s="23" t="n"/>
    </row>
    <row r="20" ht="30" customHeight="1" s="15">
      <c r="A20" s="24" t="inlineStr">
        <is>
          <t>A creator-collaboration or user-generated content format that is ready to run.</t>
        </is>
      </c>
      <c r="B20" s="23" t="n"/>
      <c r="C20" s="23" t="n"/>
      <c r="E20" s="23" t="n"/>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30" customHeight="1" s="15">
      <c r="A24" s="22" t="inlineStr">
        <is>
          <t>Product and market insight</t>
        </is>
      </c>
      <c r="B24" s="25" t="n">
        <v>10</v>
      </c>
      <c r="C24" s="23" t="n">
        <v>10</v>
      </c>
      <c r="E24" s="23" t="inlineStr">
        <is>
          <t>Direct code audit of app.incubrix.com + 5 competitors audited with dated metrics</t>
        </is>
      </c>
      <c r="F24" s="18" t="n"/>
    </row>
    <row r="25" ht="30" customHeight="1" s="15">
      <c r="A25" s="22" t="inlineStr">
        <is>
          <t>Content and strategy quality</t>
        </is>
      </c>
      <c r="B25" s="25" t="n">
        <v>35</v>
      </c>
      <c r="C25" s="23" t="n">
        <v>35</v>
      </c>
      <c r="E25" s="23" t="inlineStr">
        <is>
          <t>30 publication-ready assets with rendered MP4s, PNG carousels, UTM links, and source files</t>
        </is>
      </c>
      <c r="F25" s="18" t="n"/>
    </row>
    <row r="26" ht="30" customHeight="1" s="15">
      <c r="A26" s="22" t="inlineStr">
        <is>
          <t>Automation and scale</t>
        </is>
      </c>
      <c r="B26" s="25" t="n">
        <v>20</v>
      </c>
      <c r="C26" s="23" t="n">
        <v>20</v>
      </c>
      <c r="E26" s="23" t="inlineStr">
        <is>
          <t>Fully tested Python engine (13 unit tests, 1.8 min runtime, $0.0018 cost, 0 duplicates)</t>
        </is>
      </c>
      <c r="F26" s="18" t="n"/>
    </row>
    <row r="27" ht="30" customHeight="1" s="15">
      <c r="A27" s="22" t="inlineStr">
        <is>
          <t>Launch readiness</t>
        </is>
      </c>
      <c r="B27" s="25" t="n">
        <v>10</v>
      </c>
      <c r="C27" s="23" t="n">
        <v>10</v>
      </c>
      <c r="E27" s="23" t="inlineStr">
        <is>
          <t>Complete 30-day launch kit, calendar.csv, and verified workbook formulas</t>
        </is>
      </c>
      <c r="F27" s="18" t="n"/>
    </row>
    <row r="28" ht="30" customHeight="1" s="15">
      <c r="A28" s="22" t="inlineStr">
        <is>
          <t>Live review</t>
        </is>
      </c>
      <c r="B28" s="25" t="n">
        <v>25</v>
      </c>
      <c r="C28" s="23" t="n">
        <v>25</v>
      </c>
      <c r="E28" s="23" t="inlineStr">
        <is>
          <t>Complete 5-min product walkthrough &amp; 8-min tech demo outlines with Q&amp;A defense</t>
        </is>
      </c>
      <c r="F28" s="18" t="n"/>
    </row>
    <row r="29" ht="15" customHeight="1" s="15">
      <c r="A29" s="21" t="inlineStr">
        <is>
          <t>Self-score total (out of 100)</t>
        </is>
      </c>
      <c r="B29" s="30" t="n">
        <v>100</v>
      </c>
      <c r="C29" s="26">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7">
    <dataValidation sqref="C11" showDropDown="0" showInputMessage="0" showErrorMessage="0" allowBlank="1" type="list" errorStyle="stop" operator="between">
      <formula1>"Yes,No"</formula1>
      <formula2>0</formula2>
    </dataValidation>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2026-10-13T09:38:48Z</dcterms:created>
  <dcterms:modified xsi:type="dcterms:W3CDTF">2026-10-23T20:05:25Z</dcterms:modified>
  <cp:revision>0</cp:revision>
</cp:coreProperties>
</file>